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dreyomidsalar/Desktop/Research/SB_RNA_GEOdatasets_Final/Manuscript/FINAL/"/>
    </mc:Choice>
  </mc:AlternateContent>
  <xr:revisionPtr revIDLastSave="0" documentId="13_ncr:1_{4F0F34CD-ABF2-6F40-9FD7-E977587335E8}" xr6:coauthVersionLast="47" xr6:coauthVersionMax="47" xr10:uidLastSave="{00000000-0000-0000-0000-000000000000}"/>
  <bookViews>
    <workbookView xWindow="-34600" yWindow="900" windowWidth="30240" windowHeight="17260" activeTab="5" xr2:uid="{52BF4388-A1A8-8D4F-8F8A-385524F08DFD}"/>
  </bookViews>
  <sheets>
    <sheet name="DNA &amp; RNA Files" sheetId="3" r:id="rId1"/>
    <sheet name="DNA - Top 30 Del %" sheetId="1" r:id="rId2"/>
    <sheet name="RNA (unaligned) - Top 30 Del %" sheetId="2" r:id="rId3"/>
    <sheet name="RNA - HISAT2 - Top 30 Del %" sheetId="4" r:id="rId4"/>
    <sheet name="DNA Reads" sheetId="5" r:id="rId5"/>
    <sheet name="RNA (unaligned) Reads" sheetId="6" r:id="rId6"/>
  </sheets>
  <externalReferences>
    <externalReference r:id="rId7"/>
  </externalReferences>
  <definedNames>
    <definedName name="Platforms">[1]Terms!$A$83:$A$89</definedName>
    <definedName name="Selection">[1]Terms!$A$48:$A$80</definedName>
    <definedName name="Source">[1]Terms!$A$39:$A$45</definedName>
    <definedName name="Strategy">[1]Terms!$A$3:$A$36</definedName>
    <definedName name="top30_" localSheetId="1">'DNA - Top 30 Del %'!$A$2:$AE$31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1" i="1" l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AF5" i="1"/>
  <c r="AF4" i="1"/>
  <c r="AF3" i="1"/>
  <c r="AF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F6C808-9D3C-124A-990A-DB8A90ACB601}" name="top3011" type="6" refreshedVersion="7" background="1" saveData="1">
    <textPr sourceFile="/Users/audreyomidsalar/Desktop/top30.txt">
      <textFields count="3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<sst xmlns="http://schemas.openxmlformats.org/spreadsheetml/2006/main" count="382" uniqueCount="105">
  <si>
    <t>1105-13846</t>
  </si>
  <si>
    <t>1127-13868</t>
  </si>
  <si>
    <t>1714-15517</t>
  </si>
  <si>
    <t>3789-14807</t>
  </si>
  <si>
    <t>5368-14055</t>
  </si>
  <si>
    <t>5368-15335</t>
  </si>
  <si>
    <t>6219-13449</t>
  </si>
  <si>
    <t>6329-13994</t>
  </si>
  <si>
    <t>6335-13999</t>
  </si>
  <si>
    <t>6545-13846</t>
  </si>
  <si>
    <t>6545-14419</t>
  </si>
  <si>
    <t>6840-11136</t>
  </si>
  <si>
    <t>7126-14004</t>
  </si>
  <si>
    <t>7126-14529</t>
  </si>
  <si>
    <t>7499-14426</t>
  </si>
  <si>
    <t>7720-15821</t>
  </si>
  <si>
    <t>7807-13999</t>
  </si>
  <si>
    <t>7816-14807</t>
  </si>
  <si>
    <t>7816-15382</t>
  </si>
  <si>
    <t>7863-13449</t>
  </si>
  <si>
    <t>7863-15382</t>
  </si>
  <si>
    <t>7981-15503</t>
  </si>
  <si>
    <t>8471-13449</t>
  </si>
  <si>
    <t>8471-13584</t>
  </si>
  <si>
    <t>8471-14377</t>
  </si>
  <si>
    <t>8574-13999</t>
  </si>
  <si>
    <t>8624-14055</t>
  </si>
  <si>
    <t>8624-14815</t>
  </si>
  <si>
    <t>8624-15335</t>
  </si>
  <si>
    <t>983-13803</t>
  </si>
  <si>
    <t>Sum</t>
  </si>
  <si>
    <t>Sample_ID</t>
  </si>
  <si>
    <t>UCI_10</t>
  </si>
  <si>
    <t>UCI_11</t>
  </si>
  <si>
    <t>UCI_12</t>
  </si>
  <si>
    <t>UCI_13</t>
  </si>
  <si>
    <t>UCI_14</t>
  </si>
  <si>
    <t>UCI_15</t>
  </si>
  <si>
    <t>UCI_16</t>
  </si>
  <si>
    <t>UCI_17</t>
  </si>
  <si>
    <t>UCI_18</t>
  </si>
  <si>
    <t>UCI_19</t>
  </si>
  <si>
    <t>UCI_20</t>
  </si>
  <si>
    <t>UCI_21</t>
  </si>
  <si>
    <t>UCI_22</t>
  </si>
  <si>
    <t>UCI_23</t>
  </si>
  <si>
    <t>UCI_24</t>
  </si>
  <si>
    <t>UCI_25</t>
  </si>
  <si>
    <t>UCI_26</t>
  </si>
  <si>
    <t>UCI_27</t>
  </si>
  <si>
    <t>UCI_28</t>
  </si>
  <si>
    <t>UCI_29</t>
  </si>
  <si>
    <t>UCI_30</t>
  </si>
  <si>
    <t>UCI_31</t>
  </si>
  <si>
    <t>UCI_32</t>
  </si>
  <si>
    <t>UCI_33</t>
  </si>
  <si>
    <t>UCI_4</t>
  </si>
  <si>
    <t>UCI_5</t>
  </si>
  <si>
    <t>UCI_34</t>
  </si>
  <si>
    <t>UCI_35</t>
  </si>
  <si>
    <t>UCI_7</t>
  </si>
  <si>
    <t>UCI_36</t>
  </si>
  <si>
    <t>Diagnosis</t>
  </si>
  <si>
    <t>Sex</t>
  </si>
  <si>
    <t>Age</t>
  </si>
  <si>
    <t>F</t>
  </si>
  <si>
    <t>M</t>
  </si>
  <si>
    <t>CTRL</t>
  </si>
  <si>
    <t>SCZ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</si>
  <si>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</si>
  <si>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</si>
  <si>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</si>
  <si>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</si>
  <si>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</si>
  <si>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</si>
  <si>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</si>
  <si>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</si>
  <si>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</si>
  <si>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</si>
  <si>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</si>
  <si>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</si>
  <si>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</si>
  <si>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</si>
  <si>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</si>
  <si>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</si>
  <si>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</si>
  <si>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</si>
  <si>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</si>
  <si>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</si>
  <si>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</si>
  <si>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</si>
  <si>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</si>
  <si>
    <t>Sample24</t>
  </si>
  <si>
    <t>Sample25</t>
  </si>
  <si>
    <t>Sample26</t>
  </si>
  <si>
    <t>Sample27</t>
  </si>
  <si>
    <t>Sample28</t>
  </si>
  <si>
    <t>Sample29</t>
  </si>
  <si>
    <t>Sample30</t>
  </si>
  <si>
    <t>RNA Sample ID - GEO  GSE224683</t>
  </si>
  <si>
    <t>DNA  Sample ID - dbGaP phs002395.v1.p1</t>
  </si>
  <si>
    <t>UCI_04</t>
  </si>
  <si>
    <t>UCI_05</t>
  </si>
  <si>
    <t>UCI_07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</si>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</sst>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BACKUP_VAWTER_690_C/R01_2014/BeginWork/Admin/GenomeDataCertification/dbGAP-2021/MetadataSRA-upload-fastq/Copy%20of%20phs002395-mpv-back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 and Contact Info"/>
      <sheetName val="Terms"/>
      <sheetName val="Sequence_Data"/>
    </sheetNames>
    <sheetDataSet>
      <sheetData sheetId="0"/>
      <sheetData sheetId="1">
        <row r="3">
          <cell r="A3" t="str">
            <v>WGA</v>
          </cell>
        </row>
        <row r="4">
          <cell r="A4" t="str">
            <v>WGS</v>
          </cell>
        </row>
        <row r="5">
          <cell r="A5" t="str">
            <v>WXS</v>
          </cell>
        </row>
        <row r="6">
          <cell r="A6" t="str">
            <v>RNA-Seq</v>
          </cell>
        </row>
        <row r="7">
          <cell r="A7" t="str">
            <v>ncRNA-Seq</v>
          </cell>
        </row>
        <row r="8">
          <cell r="A8" t="str">
            <v>ssRNA-seq</v>
          </cell>
        </row>
        <row r="9">
          <cell r="A9" t="str">
            <v>miRNA-Seq</v>
          </cell>
        </row>
        <row r="10">
          <cell r="A10" t="str">
            <v>Hi-C</v>
          </cell>
        </row>
        <row r="11">
          <cell r="A11" t="str">
            <v>ATAC-seq</v>
          </cell>
        </row>
        <row r="12">
          <cell r="A12" t="str">
            <v>WCS</v>
          </cell>
        </row>
        <row r="13">
          <cell r="A13" t="str">
            <v>CLONE</v>
          </cell>
        </row>
        <row r="14">
          <cell r="A14" t="str">
            <v>POOLCLONE</v>
          </cell>
        </row>
        <row r="15">
          <cell r="A15" t="str">
            <v>AMPLICON</v>
          </cell>
        </row>
        <row r="16">
          <cell r="A16" t="str">
            <v>CLONEEND</v>
          </cell>
        </row>
        <row r="17">
          <cell r="A17" t="str">
            <v>FINISHING</v>
          </cell>
        </row>
        <row r="18">
          <cell r="A18" t="str">
            <v>ChIP-Seq</v>
          </cell>
        </row>
        <row r="19">
          <cell r="A19" t="str">
            <v>MNase-Seq</v>
          </cell>
        </row>
        <row r="20">
          <cell r="A20" t="str">
            <v>DNase-Hypersensitivity</v>
          </cell>
        </row>
        <row r="21">
          <cell r="A21" t="str">
            <v>Bisulfite-Seq</v>
          </cell>
        </row>
        <row r="22">
          <cell r="A22" t="str">
            <v>Tn-Seq</v>
          </cell>
        </row>
        <row r="23">
          <cell r="A23" t="str">
            <v>EST</v>
          </cell>
        </row>
        <row r="24">
          <cell r="A24" t="str">
            <v>FL-cDNA</v>
          </cell>
        </row>
        <row r="25">
          <cell r="A25" t="str">
            <v>CTS</v>
          </cell>
        </row>
        <row r="26">
          <cell r="A26" t="str">
            <v>MRE-Seq</v>
          </cell>
        </row>
        <row r="27">
          <cell r="A27" t="str">
            <v>MeDIP-Seq</v>
          </cell>
        </row>
        <row r="28">
          <cell r="A28" t="str">
            <v>MBD-Seq</v>
          </cell>
        </row>
        <row r="29">
          <cell r="A29" t="str">
            <v>FAIRE-seq</v>
          </cell>
        </row>
        <row r="30">
          <cell r="A30" t="str">
            <v>SELEX</v>
          </cell>
        </row>
        <row r="31">
          <cell r="A31" t="str">
            <v>RIP-Seq</v>
          </cell>
        </row>
        <row r="32">
          <cell r="A32" t="str">
            <v>ChIA-PET</v>
          </cell>
        </row>
        <row r="33">
          <cell r="A33" t="str">
            <v>Synthetic-Long-Read</v>
          </cell>
        </row>
        <row r="34">
          <cell r="A34" t="str">
            <v>Targeted-Capture</v>
          </cell>
        </row>
        <row r="35">
          <cell r="A35" t="str">
            <v>Tethered Chromatin Conformation Capture</v>
          </cell>
        </row>
        <row r="36">
          <cell r="A36" t="str">
            <v>OTHER</v>
          </cell>
        </row>
        <row r="39">
          <cell r="A39" t="str">
            <v>GENOMIC</v>
          </cell>
        </row>
        <row r="40">
          <cell r="A40" t="str">
            <v>TRANSCRIPTOMIC</v>
          </cell>
        </row>
        <row r="41">
          <cell r="A41" t="str">
            <v>METAGENOMIC</v>
          </cell>
        </row>
        <row r="42">
          <cell r="A42" t="str">
            <v>METATRANSCRIPTOMIC</v>
          </cell>
        </row>
        <row r="43">
          <cell r="A43" t="str">
            <v>SYNTHETIC</v>
          </cell>
        </row>
        <row r="44">
          <cell r="A44" t="str">
            <v>VIRAL RNA</v>
          </cell>
        </row>
        <row r="45">
          <cell r="A45" t="str">
            <v>OTHER</v>
          </cell>
        </row>
        <row r="48">
          <cell r="A48" t="str">
            <v>RANDOM</v>
          </cell>
        </row>
        <row r="49">
          <cell r="A49" t="str">
            <v>PCR</v>
          </cell>
        </row>
        <row r="50">
          <cell r="A50" t="str">
            <v>RANDOM PCR</v>
          </cell>
        </row>
        <row r="51">
          <cell r="A51" t="str">
            <v>RT-PCR</v>
          </cell>
        </row>
        <row r="52">
          <cell r="A52" t="str">
            <v>HMPR</v>
          </cell>
        </row>
        <row r="53">
          <cell r="A53" t="str">
            <v>MF</v>
          </cell>
        </row>
        <row r="54">
          <cell r="A54" t="str">
            <v>CF-S</v>
          </cell>
        </row>
        <row r="55">
          <cell r="A55" t="str">
            <v>CF-M</v>
          </cell>
        </row>
        <row r="56">
          <cell r="A56" t="str">
            <v>CF-H</v>
          </cell>
        </row>
        <row r="57">
          <cell r="A57" t="str">
            <v>CF-T</v>
          </cell>
        </row>
        <row r="58">
          <cell r="A58" t="str">
            <v>MDA</v>
          </cell>
        </row>
        <row r="59">
          <cell r="A59" t="str">
            <v>MSLL</v>
          </cell>
        </row>
        <row r="60">
          <cell r="A60" t="str">
            <v>PolyA</v>
          </cell>
        </row>
        <row r="61">
          <cell r="A61" t="str">
            <v>cDNA</v>
          </cell>
        </row>
        <row r="62">
          <cell r="A62" t="str">
            <v>ChIP</v>
          </cell>
        </row>
        <row r="63">
          <cell r="A63" t="str">
            <v>MNase</v>
          </cell>
        </row>
        <row r="64">
          <cell r="A64" t="str">
            <v>DNAse</v>
          </cell>
        </row>
        <row r="65">
          <cell r="A65" t="str">
            <v>Hybrid Selection</v>
          </cell>
        </row>
        <row r="66">
          <cell r="A66" t="str">
            <v>Reduced Representation</v>
          </cell>
        </row>
        <row r="67">
          <cell r="A67" t="str">
            <v>Restriction Digest</v>
          </cell>
        </row>
        <row r="68">
          <cell r="A68" t="str">
            <v>5-methylcytidine antibody</v>
          </cell>
        </row>
        <row r="69">
          <cell r="A69" t="str">
            <v>MBD2 protein methyl-CpG binding domain</v>
          </cell>
        </row>
        <row r="70">
          <cell r="A70" t="str">
            <v>CAGE</v>
          </cell>
        </row>
        <row r="71">
          <cell r="A71" t="str">
            <v>RACE</v>
          </cell>
        </row>
        <row r="72">
          <cell r="A72" t="str">
            <v>size fractionation</v>
          </cell>
        </row>
        <row r="73">
          <cell r="A73" t="str">
            <v>padlock probes capture method</v>
          </cell>
        </row>
        <row r="74">
          <cell r="A74" t="str">
            <v>repeat fractionation</v>
          </cell>
        </row>
        <row r="75">
          <cell r="A75" t="str">
            <v>cDNA_randomPriming</v>
          </cell>
        </row>
        <row r="76">
          <cell r="A76" t="str">
            <v>cDNA_oligo_dT</v>
          </cell>
        </row>
        <row r="77">
          <cell r="A77" t="str">
            <v>Oligo-dT</v>
          </cell>
        </row>
        <row r="78">
          <cell r="A78" t="str">
            <v>Inverse rRNA</v>
          </cell>
        </row>
        <row r="79">
          <cell r="A79" t="str">
            <v>other</v>
          </cell>
        </row>
        <row r="80">
          <cell r="A80" t="str">
            <v>unspecified</v>
          </cell>
        </row>
        <row r="83">
          <cell r="A83" t="str">
            <v>ILLUMINA</v>
          </cell>
        </row>
        <row r="84">
          <cell r="A84" t="str">
            <v>_LS454</v>
          </cell>
        </row>
        <row r="85">
          <cell r="A85" t="str">
            <v>PACBIO_SMRT</v>
          </cell>
        </row>
        <row r="86">
          <cell r="A86" t="str">
            <v>ION_TORRENT</v>
          </cell>
        </row>
        <row r="87">
          <cell r="A87" t="str">
            <v>OXFORD_NANOPORE</v>
          </cell>
        </row>
        <row r="88">
          <cell r="A88" t="str">
            <v>BGISEQ</v>
          </cell>
        </row>
      </sheetData>
      <sheetData sheetId="2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p30" connectionId="1" xr16:uid="{BB86B8C6-8F3D-E846-84DA-A60811A292D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C8938-1848-C14B-BECE-0D0675C57A07}">
  <dimension ref="A1:F1038"/>
  <sheetViews>
    <sheetView zoomScaleNormal="100" workbookViewId="0"/>
  </sheetViews>
  <sheetFormatPr baseColWidth="10" defaultColWidth="11" defaultRowHeight="16" x14ac:dyDescent="0.2"/>
  <cols>
    <col min="4" max="4" width="4.33203125" bestFit="1" customWidth="1"/>
    <col min="5" max="5" width="30" bestFit="1" customWidth="1"/>
    <col min="6" max="6" width="36.5" style="3" bestFit="1" customWidth="1"/>
  </cols>
  <sheetData>
    <row r="1" spans="1:6" x14ac:dyDescent="0.2">
      <c r="A1" s="1" t="s">
        <v>31</v>
      </c>
      <c r="B1" s="1" t="s">
        <v>62</v>
      </c>
      <c r="C1" s="1" t="s">
        <v>63</v>
      </c>
      <c r="D1" s="1" t="s">
        <v>64</v>
      </c>
      <c r="E1" s="1" t="s">
        <v>99</v>
      </c>
      <c r="F1" s="2" t="s">
        <v>100</v>
      </c>
    </row>
    <row r="2" spans="1:6" x14ac:dyDescent="0.2">
      <c r="A2" s="1" t="s">
        <v>32</v>
      </c>
      <c r="B2" s="1" t="s">
        <v>67</v>
      </c>
      <c r="C2" s="1" t="s">
        <v>65</v>
      </c>
      <c r="D2" s="1">
        <v>45</v>
      </c>
      <c r="E2" s="2" t="s">
        <v>90</v>
      </c>
      <c r="F2" s="2">
        <v>258</v>
      </c>
    </row>
    <row r="3" spans="1:6" x14ac:dyDescent="0.2">
      <c r="A3" s="1" t="s">
        <v>33</v>
      </c>
      <c r="B3" s="1" t="s">
        <v>67</v>
      </c>
      <c r="C3" s="1" t="s">
        <v>66</v>
      </c>
      <c r="D3" s="1">
        <v>77</v>
      </c>
      <c r="E3" s="2" t="s">
        <v>96</v>
      </c>
      <c r="F3" s="2">
        <v>204</v>
      </c>
    </row>
    <row r="4" spans="1:6" x14ac:dyDescent="0.2">
      <c r="A4" s="1" t="s">
        <v>34</v>
      </c>
      <c r="B4" s="1" t="s">
        <v>68</v>
      </c>
      <c r="C4" s="1" t="s">
        <v>66</v>
      </c>
      <c r="D4" s="1">
        <v>49</v>
      </c>
      <c r="E4" s="2" t="s">
        <v>72</v>
      </c>
      <c r="F4" s="2">
        <v>300</v>
      </c>
    </row>
    <row r="5" spans="1:6" x14ac:dyDescent="0.2">
      <c r="A5" s="1" t="s">
        <v>35</v>
      </c>
      <c r="B5" s="1" t="s">
        <v>68</v>
      </c>
      <c r="C5" s="1" t="s">
        <v>66</v>
      </c>
      <c r="D5" s="1">
        <v>38</v>
      </c>
      <c r="E5" s="2" t="s">
        <v>89</v>
      </c>
      <c r="F5" s="2">
        <v>302</v>
      </c>
    </row>
    <row r="6" spans="1:6" x14ac:dyDescent="0.2">
      <c r="A6" s="1" t="s">
        <v>36</v>
      </c>
      <c r="B6" s="1" t="s">
        <v>67</v>
      </c>
      <c r="C6" s="1" t="s">
        <v>66</v>
      </c>
      <c r="D6" s="1">
        <v>59</v>
      </c>
      <c r="E6" s="2" t="s">
        <v>77</v>
      </c>
      <c r="F6" s="2">
        <v>284</v>
      </c>
    </row>
    <row r="7" spans="1:6" x14ac:dyDescent="0.2">
      <c r="A7" s="1" t="s">
        <v>37</v>
      </c>
      <c r="B7" s="1" t="s">
        <v>67</v>
      </c>
      <c r="C7" s="1" t="s">
        <v>66</v>
      </c>
      <c r="D7" s="1">
        <v>42</v>
      </c>
      <c r="E7" s="2" t="s">
        <v>98</v>
      </c>
      <c r="F7" s="2">
        <v>366</v>
      </c>
    </row>
    <row r="8" spans="1:6" x14ac:dyDescent="0.2">
      <c r="A8" s="1" t="s">
        <v>38</v>
      </c>
      <c r="B8" s="1" t="s">
        <v>67</v>
      </c>
      <c r="C8" s="1" t="s">
        <v>66</v>
      </c>
      <c r="D8" s="1">
        <v>63</v>
      </c>
      <c r="E8" s="2" t="s">
        <v>85</v>
      </c>
      <c r="F8" s="2">
        <v>212</v>
      </c>
    </row>
    <row r="9" spans="1:6" x14ac:dyDescent="0.2">
      <c r="A9" s="1" t="s">
        <v>39</v>
      </c>
      <c r="B9" s="1" t="s">
        <v>67</v>
      </c>
      <c r="C9" s="1" t="s">
        <v>66</v>
      </c>
      <c r="D9" s="1">
        <v>64</v>
      </c>
      <c r="E9" s="2" t="s">
        <v>83</v>
      </c>
      <c r="F9" s="2">
        <v>338</v>
      </c>
    </row>
    <row r="10" spans="1:6" x14ac:dyDescent="0.2">
      <c r="A10" s="1" t="s">
        <v>40</v>
      </c>
      <c r="B10" s="1" t="s">
        <v>67</v>
      </c>
      <c r="C10" s="1" t="s">
        <v>65</v>
      </c>
      <c r="D10" s="1">
        <v>53</v>
      </c>
      <c r="E10" s="2" t="s">
        <v>81</v>
      </c>
      <c r="F10" s="2">
        <v>380</v>
      </c>
    </row>
    <row r="11" spans="1:6" x14ac:dyDescent="0.2">
      <c r="A11" s="1" t="s">
        <v>41</v>
      </c>
      <c r="B11" s="1" t="s">
        <v>67</v>
      </c>
      <c r="C11" s="1" t="s">
        <v>66</v>
      </c>
      <c r="D11" s="1">
        <v>56</v>
      </c>
      <c r="E11" s="2" t="s">
        <v>73</v>
      </c>
      <c r="F11" s="2">
        <v>340</v>
      </c>
    </row>
    <row r="12" spans="1:6" x14ac:dyDescent="0.2">
      <c r="A12" s="1" t="s">
        <v>42</v>
      </c>
      <c r="B12" s="1" t="s">
        <v>67</v>
      </c>
      <c r="C12" s="1" t="s">
        <v>66</v>
      </c>
      <c r="D12" s="1">
        <v>68</v>
      </c>
      <c r="E12" s="2" t="s">
        <v>76</v>
      </c>
      <c r="F12" s="2">
        <v>216</v>
      </c>
    </row>
    <row r="13" spans="1:6" x14ac:dyDescent="0.2">
      <c r="A13" s="1" t="s">
        <v>43</v>
      </c>
      <c r="B13" s="1" t="s">
        <v>68</v>
      </c>
      <c r="C13" s="1" t="s">
        <v>66</v>
      </c>
      <c r="D13" s="1">
        <v>24</v>
      </c>
      <c r="E13" s="2" t="s">
        <v>97</v>
      </c>
      <c r="F13" s="2">
        <v>226</v>
      </c>
    </row>
    <row r="14" spans="1:6" x14ac:dyDescent="0.2">
      <c r="A14" s="1" t="s">
        <v>44</v>
      </c>
      <c r="B14" s="1" t="s">
        <v>68</v>
      </c>
      <c r="C14" s="1" t="s">
        <v>66</v>
      </c>
      <c r="D14" s="1">
        <v>55</v>
      </c>
      <c r="E14" s="2" t="s">
        <v>94</v>
      </c>
      <c r="F14" s="2">
        <v>230</v>
      </c>
    </row>
    <row r="15" spans="1:6" x14ac:dyDescent="0.2">
      <c r="A15" s="1" t="s">
        <v>45</v>
      </c>
      <c r="B15" s="1" t="s">
        <v>68</v>
      </c>
      <c r="C15" s="1" t="s">
        <v>66</v>
      </c>
      <c r="D15" s="1">
        <v>35</v>
      </c>
      <c r="E15" s="2" t="s">
        <v>71</v>
      </c>
      <c r="F15" s="2">
        <v>362</v>
      </c>
    </row>
    <row r="16" spans="1:6" x14ac:dyDescent="0.2">
      <c r="A16" s="1" t="s">
        <v>46</v>
      </c>
      <c r="B16" s="1" t="s">
        <v>67</v>
      </c>
      <c r="C16" s="1" t="s">
        <v>66</v>
      </c>
      <c r="D16" s="1">
        <v>53</v>
      </c>
      <c r="E16" s="2" t="s">
        <v>69</v>
      </c>
      <c r="F16" s="2">
        <v>378</v>
      </c>
    </row>
    <row r="17" spans="1:6" x14ac:dyDescent="0.2">
      <c r="A17" s="1" t="s">
        <v>47</v>
      </c>
      <c r="B17" s="1" t="s">
        <v>68</v>
      </c>
      <c r="C17" s="1" t="s">
        <v>66</v>
      </c>
      <c r="D17" s="1">
        <v>35</v>
      </c>
      <c r="E17" s="2" t="s">
        <v>95</v>
      </c>
      <c r="F17" s="2">
        <v>308</v>
      </c>
    </row>
    <row r="18" spans="1:6" x14ac:dyDescent="0.2">
      <c r="A18" s="1" t="s">
        <v>48</v>
      </c>
      <c r="B18" s="1" t="s">
        <v>68</v>
      </c>
      <c r="C18" s="1" t="s">
        <v>65</v>
      </c>
      <c r="D18" s="1">
        <v>58</v>
      </c>
      <c r="E18" s="2" t="s">
        <v>88</v>
      </c>
      <c r="F18" s="2">
        <v>350</v>
      </c>
    </row>
    <row r="19" spans="1:6" x14ac:dyDescent="0.2">
      <c r="A19" s="1" t="s">
        <v>49</v>
      </c>
      <c r="B19" s="1" t="s">
        <v>67</v>
      </c>
      <c r="C19" s="1" t="s">
        <v>66</v>
      </c>
      <c r="D19" s="1">
        <v>58</v>
      </c>
      <c r="E19" s="2" t="s">
        <v>74</v>
      </c>
      <c r="F19" s="2">
        <v>374</v>
      </c>
    </row>
    <row r="20" spans="1:6" x14ac:dyDescent="0.2">
      <c r="A20" s="1" t="s">
        <v>50</v>
      </c>
      <c r="B20" s="1" t="s">
        <v>68</v>
      </c>
      <c r="C20" s="1" t="s">
        <v>66</v>
      </c>
      <c r="D20" s="1">
        <v>39</v>
      </c>
      <c r="E20" s="2" t="s">
        <v>70</v>
      </c>
      <c r="F20" s="2">
        <v>354</v>
      </c>
    </row>
    <row r="21" spans="1:6" x14ac:dyDescent="0.2">
      <c r="A21" s="1" t="s">
        <v>51</v>
      </c>
      <c r="B21" s="1" t="s">
        <v>67</v>
      </c>
      <c r="C21" s="1" t="s">
        <v>66</v>
      </c>
      <c r="D21" s="1">
        <v>45</v>
      </c>
      <c r="E21" s="2" t="s">
        <v>78</v>
      </c>
      <c r="F21" s="2">
        <v>290</v>
      </c>
    </row>
    <row r="22" spans="1:6" x14ac:dyDescent="0.2">
      <c r="A22" s="1" t="s">
        <v>52</v>
      </c>
      <c r="B22" s="1" t="s">
        <v>68</v>
      </c>
      <c r="C22" s="1" t="s">
        <v>66</v>
      </c>
      <c r="D22" s="1">
        <v>43</v>
      </c>
      <c r="E22" s="2" t="s">
        <v>92</v>
      </c>
      <c r="F22" s="2">
        <v>268</v>
      </c>
    </row>
    <row r="23" spans="1:6" x14ac:dyDescent="0.2">
      <c r="A23" s="1" t="s">
        <v>53</v>
      </c>
      <c r="B23" s="1" t="s">
        <v>68</v>
      </c>
      <c r="C23" s="1" t="s">
        <v>66</v>
      </c>
      <c r="D23" s="1">
        <v>39</v>
      </c>
      <c r="E23" s="2" t="s">
        <v>75</v>
      </c>
      <c r="F23" s="2">
        <v>356</v>
      </c>
    </row>
    <row r="24" spans="1:6" x14ac:dyDescent="0.2">
      <c r="A24" s="1" t="s">
        <v>54</v>
      </c>
      <c r="B24" s="1" t="s">
        <v>68</v>
      </c>
      <c r="C24" s="1" t="s">
        <v>66</v>
      </c>
      <c r="D24" s="1">
        <v>49</v>
      </c>
      <c r="E24" s="2" t="s">
        <v>91</v>
      </c>
      <c r="F24" s="2">
        <v>358</v>
      </c>
    </row>
    <row r="25" spans="1:6" x14ac:dyDescent="0.2">
      <c r="A25" s="1" t="s">
        <v>55</v>
      </c>
      <c r="B25" s="1" t="s">
        <v>67</v>
      </c>
      <c r="C25" s="1" t="s">
        <v>66</v>
      </c>
      <c r="D25" s="1">
        <v>39</v>
      </c>
      <c r="E25" s="2" t="s">
        <v>80</v>
      </c>
      <c r="F25" s="2">
        <v>346</v>
      </c>
    </row>
    <row r="26" spans="1:6" x14ac:dyDescent="0.2">
      <c r="A26" s="1" t="s">
        <v>56</v>
      </c>
      <c r="B26" s="1" t="s">
        <v>68</v>
      </c>
      <c r="C26" s="1" t="s">
        <v>65</v>
      </c>
      <c r="D26" s="1">
        <v>29</v>
      </c>
      <c r="E26" s="2" t="s">
        <v>87</v>
      </c>
      <c r="F26" s="2">
        <v>384</v>
      </c>
    </row>
    <row r="27" spans="1:6" x14ac:dyDescent="0.2">
      <c r="A27" s="1" t="s">
        <v>57</v>
      </c>
      <c r="B27" s="1" t="s">
        <v>68</v>
      </c>
      <c r="C27" s="1" t="s">
        <v>66</v>
      </c>
      <c r="D27" s="1">
        <v>26</v>
      </c>
      <c r="E27" s="2" t="s">
        <v>84</v>
      </c>
      <c r="F27" s="2">
        <v>236</v>
      </c>
    </row>
    <row r="28" spans="1:6" x14ac:dyDescent="0.2">
      <c r="A28" s="1" t="s">
        <v>58</v>
      </c>
      <c r="B28" s="1" t="s">
        <v>67</v>
      </c>
      <c r="C28" s="1" t="s">
        <v>65</v>
      </c>
      <c r="D28" s="1">
        <v>60</v>
      </c>
      <c r="E28" s="2" t="s">
        <v>82</v>
      </c>
      <c r="F28" s="2">
        <v>294</v>
      </c>
    </row>
    <row r="29" spans="1:6" x14ac:dyDescent="0.2">
      <c r="A29" s="1" t="s">
        <v>59</v>
      </c>
      <c r="B29" s="1" t="s">
        <v>67</v>
      </c>
      <c r="C29" s="1" t="s">
        <v>66</v>
      </c>
      <c r="D29" s="1">
        <v>53</v>
      </c>
      <c r="E29" s="2" t="s">
        <v>79</v>
      </c>
      <c r="F29" s="2">
        <v>298</v>
      </c>
    </row>
    <row r="30" spans="1:6" x14ac:dyDescent="0.2">
      <c r="A30" s="1" t="s">
        <v>60</v>
      </c>
      <c r="B30" s="1" t="s">
        <v>68</v>
      </c>
      <c r="C30" s="1" t="s">
        <v>66</v>
      </c>
      <c r="D30" s="1">
        <v>38</v>
      </c>
      <c r="E30" s="2" t="s">
        <v>93</v>
      </c>
      <c r="F30" s="2">
        <v>360</v>
      </c>
    </row>
    <row r="31" spans="1:6" x14ac:dyDescent="0.2">
      <c r="A31" s="1" t="s">
        <v>61</v>
      </c>
      <c r="B31" s="1" t="s">
        <v>68</v>
      </c>
      <c r="C31" s="1" t="s">
        <v>66</v>
      </c>
      <c r="D31" s="1">
        <v>51</v>
      </c>
      <c r="E31" s="2" t="s">
        <v>86</v>
      </c>
      <c r="F31" s="2">
        <v>310</v>
      </c>
    </row>
    <row r="32" spans="1:6" x14ac:dyDescent="0.2">
      <c r="F32"/>
    </row>
    <row r="33" spans="6:6" x14ac:dyDescent="0.2">
      <c r="F33"/>
    </row>
    <row r="34" spans="6:6" x14ac:dyDescent="0.2">
      <c r="F34"/>
    </row>
    <row r="35" spans="6:6" x14ac:dyDescent="0.2">
      <c r="F35"/>
    </row>
    <row r="36" spans="6:6" x14ac:dyDescent="0.2">
      <c r="F36"/>
    </row>
    <row r="37" spans="6:6" x14ac:dyDescent="0.2">
      <c r="F37"/>
    </row>
    <row r="38" spans="6:6" x14ac:dyDescent="0.2">
      <c r="F38"/>
    </row>
    <row r="39" spans="6:6" x14ac:dyDescent="0.2">
      <c r="F39"/>
    </row>
    <row r="40" spans="6:6" x14ac:dyDescent="0.2">
      <c r="F40"/>
    </row>
    <row r="41" spans="6:6" x14ac:dyDescent="0.2">
      <c r="F41"/>
    </row>
    <row r="42" spans="6:6" x14ac:dyDescent="0.2">
      <c r="F42"/>
    </row>
    <row r="43" spans="6:6" x14ac:dyDescent="0.2">
      <c r="F43"/>
    </row>
    <row r="44" spans="6:6" x14ac:dyDescent="0.2">
      <c r="F44"/>
    </row>
    <row r="45" spans="6:6" x14ac:dyDescent="0.2">
      <c r="F45"/>
    </row>
    <row r="46" spans="6:6" x14ac:dyDescent="0.2">
      <c r="F46"/>
    </row>
    <row r="47" spans="6:6" x14ac:dyDescent="0.2">
      <c r="F47"/>
    </row>
    <row r="48" spans="6:6" x14ac:dyDescent="0.2">
      <c r="F48"/>
    </row>
    <row r="49" spans="6:6" x14ac:dyDescent="0.2">
      <c r="F49"/>
    </row>
    <row r="50" spans="6:6" x14ac:dyDescent="0.2">
      <c r="F50"/>
    </row>
    <row r="51" spans="6:6" x14ac:dyDescent="0.2">
      <c r="F51"/>
    </row>
    <row r="52" spans="6:6" x14ac:dyDescent="0.2">
      <c r="F52"/>
    </row>
    <row r="53" spans="6:6" x14ac:dyDescent="0.2">
      <c r="F53"/>
    </row>
    <row r="54" spans="6:6" x14ac:dyDescent="0.2">
      <c r="F54"/>
    </row>
    <row r="55" spans="6:6" x14ac:dyDescent="0.2">
      <c r="F55"/>
    </row>
    <row r="56" spans="6:6" x14ac:dyDescent="0.2">
      <c r="F56"/>
    </row>
    <row r="57" spans="6:6" x14ac:dyDescent="0.2">
      <c r="F57"/>
    </row>
    <row r="58" spans="6:6" x14ac:dyDescent="0.2">
      <c r="F58"/>
    </row>
    <row r="59" spans="6:6" x14ac:dyDescent="0.2">
      <c r="F59"/>
    </row>
    <row r="60" spans="6:6" x14ac:dyDescent="0.2">
      <c r="F60"/>
    </row>
    <row r="61" spans="6:6" x14ac:dyDescent="0.2">
      <c r="F61"/>
    </row>
    <row r="62" spans="6:6" x14ac:dyDescent="0.2">
      <c r="F62"/>
    </row>
    <row r="63" spans="6:6" x14ac:dyDescent="0.2">
      <c r="F63"/>
    </row>
    <row r="64" spans="6:6" x14ac:dyDescent="0.2">
      <c r="F64"/>
    </row>
    <row r="65" spans="6:6" x14ac:dyDescent="0.2">
      <c r="F65"/>
    </row>
    <row r="66" spans="6:6" x14ac:dyDescent="0.2">
      <c r="F66"/>
    </row>
    <row r="67" spans="6:6" x14ac:dyDescent="0.2">
      <c r="F67"/>
    </row>
    <row r="68" spans="6:6" x14ac:dyDescent="0.2">
      <c r="F68"/>
    </row>
    <row r="69" spans="6:6" x14ac:dyDescent="0.2">
      <c r="F69"/>
    </row>
    <row r="70" spans="6:6" x14ac:dyDescent="0.2">
      <c r="F70"/>
    </row>
    <row r="71" spans="6:6" x14ac:dyDescent="0.2">
      <c r="F71"/>
    </row>
    <row r="72" spans="6:6" x14ac:dyDescent="0.2">
      <c r="F72"/>
    </row>
    <row r="73" spans="6:6" x14ac:dyDescent="0.2">
      <c r="F73"/>
    </row>
    <row r="74" spans="6:6" x14ac:dyDescent="0.2">
      <c r="F74"/>
    </row>
    <row r="75" spans="6:6" x14ac:dyDescent="0.2">
      <c r="F75"/>
    </row>
    <row r="76" spans="6:6" x14ac:dyDescent="0.2">
      <c r="F76"/>
    </row>
    <row r="77" spans="6:6" x14ac:dyDescent="0.2">
      <c r="F77"/>
    </row>
    <row r="78" spans="6:6" x14ac:dyDescent="0.2">
      <c r="F78"/>
    </row>
    <row r="79" spans="6:6" x14ac:dyDescent="0.2">
      <c r="F79"/>
    </row>
    <row r="80" spans="6:6" x14ac:dyDescent="0.2">
      <c r="F80"/>
    </row>
    <row r="81" spans="6:6" x14ac:dyDescent="0.2">
      <c r="F81"/>
    </row>
    <row r="82" spans="6:6" x14ac:dyDescent="0.2">
      <c r="F82"/>
    </row>
    <row r="83" spans="6:6" x14ac:dyDescent="0.2">
      <c r="F83"/>
    </row>
    <row r="84" spans="6:6" x14ac:dyDescent="0.2">
      <c r="F84"/>
    </row>
    <row r="85" spans="6:6" x14ac:dyDescent="0.2">
      <c r="F85"/>
    </row>
    <row r="86" spans="6:6" x14ac:dyDescent="0.2">
      <c r="F86"/>
    </row>
    <row r="87" spans="6:6" x14ac:dyDescent="0.2">
      <c r="F87"/>
    </row>
    <row r="88" spans="6:6" x14ac:dyDescent="0.2">
      <c r="F88"/>
    </row>
    <row r="89" spans="6:6" x14ac:dyDescent="0.2">
      <c r="F89"/>
    </row>
    <row r="90" spans="6:6" x14ac:dyDescent="0.2">
      <c r="F90"/>
    </row>
    <row r="91" spans="6:6" x14ac:dyDescent="0.2">
      <c r="F91"/>
    </row>
    <row r="92" spans="6:6" x14ac:dyDescent="0.2">
      <c r="F92"/>
    </row>
    <row r="93" spans="6:6" x14ac:dyDescent="0.2">
      <c r="F93"/>
    </row>
    <row r="94" spans="6:6" x14ac:dyDescent="0.2">
      <c r="F94"/>
    </row>
    <row r="95" spans="6:6" x14ac:dyDescent="0.2">
      <c r="F95"/>
    </row>
    <row r="96" spans="6:6" x14ac:dyDescent="0.2">
      <c r="F96"/>
    </row>
    <row r="97" spans="6:6" x14ac:dyDescent="0.2">
      <c r="F97"/>
    </row>
    <row r="98" spans="6:6" x14ac:dyDescent="0.2">
      <c r="F98"/>
    </row>
    <row r="99" spans="6:6" x14ac:dyDescent="0.2">
      <c r="F99"/>
    </row>
    <row r="100" spans="6:6" x14ac:dyDescent="0.2">
      <c r="F100"/>
    </row>
    <row r="101" spans="6:6" x14ac:dyDescent="0.2">
      <c r="F101"/>
    </row>
    <row r="102" spans="6:6" x14ac:dyDescent="0.2">
      <c r="F102"/>
    </row>
    <row r="103" spans="6:6" x14ac:dyDescent="0.2">
      <c r="F103"/>
    </row>
    <row r="104" spans="6:6" x14ac:dyDescent="0.2">
      <c r="F104"/>
    </row>
    <row r="105" spans="6:6" x14ac:dyDescent="0.2">
      <c r="F105"/>
    </row>
    <row r="106" spans="6:6" x14ac:dyDescent="0.2">
      <c r="F106"/>
    </row>
    <row r="107" spans="6:6" x14ac:dyDescent="0.2">
      <c r="F107"/>
    </row>
    <row r="108" spans="6:6" x14ac:dyDescent="0.2">
      <c r="F108"/>
    </row>
    <row r="109" spans="6:6" x14ac:dyDescent="0.2">
      <c r="F109"/>
    </row>
    <row r="110" spans="6:6" x14ac:dyDescent="0.2">
      <c r="F110"/>
    </row>
    <row r="111" spans="6:6" x14ac:dyDescent="0.2">
      <c r="F111"/>
    </row>
    <row r="112" spans="6:6" x14ac:dyDescent="0.2">
      <c r="F112"/>
    </row>
    <row r="113" spans="6:6" x14ac:dyDescent="0.2">
      <c r="F113"/>
    </row>
    <row r="114" spans="6:6" x14ac:dyDescent="0.2">
      <c r="F114"/>
    </row>
    <row r="115" spans="6:6" x14ac:dyDescent="0.2">
      <c r="F115"/>
    </row>
    <row r="116" spans="6:6" x14ac:dyDescent="0.2">
      <c r="F116"/>
    </row>
    <row r="117" spans="6:6" x14ac:dyDescent="0.2">
      <c r="F117"/>
    </row>
    <row r="118" spans="6:6" x14ac:dyDescent="0.2">
      <c r="F118"/>
    </row>
    <row r="119" spans="6:6" x14ac:dyDescent="0.2">
      <c r="F119"/>
    </row>
    <row r="120" spans="6:6" x14ac:dyDescent="0.2">
      <c r="F120"/>
    </row>
    <row r="121" spans="6:6" x14ac:dyDescent="0.2">
      <c r="F121"/>
    </row>
    <row r="122" spans="6:6" x14ac:dyDescent="0.2">
      <c r="F122"/>
    </row>
    <row r="123" spans="6:6" x14ac:dyDescent="0.2">
      <c r="F123"/>
    </row>
    <row r="124" spans="6:6" x14ac:dyDescent="0.2">
      <c r="F124"/>
    </row>
    <row r="125" spans="6:6" x14ac:dyDescent="0.2">
      <c r="F125"/>
    </row>
    <row r="126" spans="6:6" x14ac:dyDescent="0.2">
      <c r="F126"/>
    </row>
    <row r="127" spans="6:6" x14ac:dyDescent="0.2">
      <c r="F127"/>
    </row>
    <row r="128" spans="6:6" x14ac:dyDescent="0.2">
      <c r="F128"/>
    </row>
    <row r="129" spans="6:6" x14ac:dyDescent="0.2">
      <c r="F129"/>
    </row>
    <row r="130" spans="6:6" x14ac:dyDescent="0.2">
      <c r="F130"/>
    </row>
    <row r="131" spans="6:6" x14ac:dyDescent="0.2">
      <c r="F131"/>
    </row>
    <row r="132" spans="6:6" x14ac:dyDescent="0.2">
      <c r="F132"/>
    </row>
    <row r="133" spans="6:6" x14ac:dyDescent="0.2">
      <c r="F133"/>
    </row>
    <row r="134" spans="6:6" x14ac:dyDescent="0.2">
      <c r="F134"/>
    </row>
    <row r="135" spans="6:6" x14ac:dyDescent="0.2">
      <c r="F135"/>
    </row>
    <row r="136" spans="6:6" x14ac:dyDescent="0.2">
      <c r="F136"/>
    </row>
    <row r="137" spans="6:6" x14ac:dyDescent="0.2">
      <c r="F137"/>
    </row>
    <row r="138" spans="6:6" x14ac:dyDescent="0.2">
      <c r="F138"/>
    </row>
    <row r="139" spans="6:6" x14ac:dyDescent="0.2">
      <c r="F139"/>
    </row>
    <row r="140" spans="6:6" x14ac:dyDescent="0.2">
      <c r="F140"/>
    </row>
    <row r="141" spans="6:6" x14ac:dyDescent="0.2">
      <c r="F141"/>
    </row>
    <row r="142" spans="6:6" x14ac:dyDescent="0.2">
      <c r="F142"/>
    </row>
    <row r="143" spans="6:6" x14ac:dyDescent="0.2">
      <c r="F143"/>
    </row>
    <row r="144" spans="6:6" x14ac:dyDescent="0.2">
      <c r="F144"/>
    </row>
    <row r="145" spans="6:6" x14ac:dyDescent="0.2">
      <c r="F145"/>
    </row>
    <row r="146" spans="6:6" x14ac:dyDescent="0.2">
      <c r="F146"/>
    </row>
    <row r="147" spans="6:6" x14ac:dyDescent="0.2">
      <c r="F147"/>
    </row>
    <row r="148" spans="6:6" x14ac:dyDescent="0.2">
      <c r="F148"/>
    </row>
    <row r="149" spans="6:6" x14ac:dyDescent="0.2">
      <c r="F149"/>
    </row>
    <row r="150" spans="6:6" x14ac:dyDescent="0.2">
      <c r="F150"/>
    </row>
    <row r="151" spans="6:6" x14ac:dyDescent="0.2">
      <c r="F151"/>
    </row>
    <row r="152" spans="6:6" x14ac:dyDescent="0.2">
      <c r="F152"/>
    </row>
    <row r="153" spans="6:6" x14ac:dyDescent="0.2">
      <c r="F153"/>
    </row>
    <row r="154" spans="6:6" x14ac:dyDescent="0.2">
      <c r="F154"/>
    </row>
    <row r="155" spans="6:6" x14ac:dyDescent="0.2">
      <c r="F155"/>
    </row>
    <row r="156" spans="6:6" x14ac:dyDescent="0.2">
      <c r="F156"/>
    </row>
    <row r="157" spans="6:6" x14ac:dyDescent="0.2">
      <c r="F157"/>
    </row>
    <row r="158" spans="6:6" x14ac:dyDescent="0.2">
      <c r="F158"/>
    </row>
    <row r="159" spans="6:6" x14ac:dyDescent="0.2">
      <c r="F159"/>
    </row>
    <row r="160" spans="6:6" x14ac:dyDescent="0.2">
      <c r="F160"/>
    </row>
    <row r="161" spans="6:6" x14ac:dyDescent="0.2">
      <c r="F161"/>
    </row>
    <row r="162" spans="6:6" x14ac:dyDescent="0.2">
      <c r="F162"/>
    </row>
    <row r="163" spans="6:6" x14ac:dyDescent="0.2">
      <c r="F163"/>
    </row>
    <row r="164" spans="6:6" x14ac:dyDescent="0.2">
      <c r="F164"/>
    </row>
    <row r="165" spans="6:6" x14ac:dyDescent="0.2">
      <c r="F165"/>
    </row>
    <row r="166" spans="6:6" x14ac:dyDescent="0.2">
      <c r="F166"/>
    </row>
    <row r="167" spans="6:6" x14ac:dyDescent="0.2">
      <c r="F167"/>
    </row>
    <row r="168" spans="6:6" x14ac:dyDescent="0.2">
      <c r="F168"/>
    </row>
    <row r="169" spans="6:6" x14ac:dyDescent="0.2">
      <c r="F169"/>
    </row>
    <row r="170" spans="6:6" x14ac:dyDescent="0.2">
      <c r="F170"/>
    </row>
    <row r="171" spans="6:6" x14ac:dyDescent="0.2">
      <c r="F171"/>
    </row>
    <row r="172" spans="6:6" x14ac:dyDescent="0.2">
      <c r="F172"/>
    </row>
    <row r="173" spans="6:6" x14ac:dyDescent="0.2">
      <c r="F173"/>
    </row>
    <row r="174" spans="6:6" x14ac:dyDescent="0.2">
      <c r="F174"/>
    </row>
    <row r="175" spans="6:6" x14ac:dyDescent="0.2">
      <c r="F175"/>
    </row>
    <row r="176" spans="6:6" x14ac:dyDescent="0.2">
      <c r="F176"/>
    </row>
    <row r="177" spans="6:6" x14ac:dyDescent="0.2">
      <c r="F177"/>
    </row>
    <row r="178" spans="6:6" x14ac:dyDescent="0.2">
      <c r="F178"/>
    </row>
    <row r="179" spans="6:6" x14ac:dyDescent="0.2">
      <c r="F179"/>
    </row>
    <row r="180" spans="6:6" x14ac:dyDescent="0.2">
      <c r="F180"/>
    </row>
    <row r="181" spans="6:6" x14ac:dyDescent="0.2">
      <c r="F181"/>
    </row>
    <row r="182" spans="6:6" x14ac:dyDescent="0.2">
      <c r="F182"/>
    </row>
    <row r="183" spans="6:6" x14ac:dyDescent="0.2">
      <c r="F183"/>
    </row>
    <row r="184" spans="6:6" x14ac:dyDescent="0.2">
      <c r="F184"/>
    </row>
    <row r="185" spans="6:6" x14ac:dyDescent="0.2">
      <c r="F185"/>
    </row>
    <row r="186" spans="6:6" x14ac:dyDescent="0.2">
      <c r="F186"/>
    </row>
    <row r="187" spans="6:6" x14ac:dyDescent="0.2">
      <c r="F187"/>
    </row>
    <row r="188" spans="6:6" x14ac:dyDescent="0.2">
      <c r="F188"/>
    </row>
    <row r="189" spans="6:6" x14ac:dyDescent="0.2">
      <c r="F189"/>
    </row>
    <row r="190" spans="6:6" x14ac:dyDescent="0.2">
      <c r="F190"/>
    </row>
    <row r="191" spans="6:6" x14ac:dyDescent="0.2">
      <c r="F191"/>
    </row>
    <row r="192" spans="6:6" x14ac:dyDescent="0.2">
      <c r="F192"/>
    </row>
    <row r="193" spans="6:6" x14ac:dyDescent="0.2">
      <c r="F193"/>
    </row>
    <row r="194" spans="6:6" x14ac:dyDescent="0.2">
      <c r="F194"/>
    </row>
    <row r="195" spans="6:6" x14ac:dyDescent="0.2">
      <c r="F195"/>
    </row>
    <row r="196" spans="6:6" x14ac:dyDescent="0.2">
      <c r="F196"/>
    </row>
    <row r="197" spans="6:6" x14ac:dyDescent="0.2">
      <c r="F197"/>
    </row>
    <row r="198" spans="6:6" x14ac:dyDescent="0.2">
      <c r="F198"/>
    </row>
    <row r="199" spans="6:6" x14ac:dyDescent="0.2">
      <c r="F199"/>
    </row>
    <row r="200" spans="6:6" x14ac:dyDescent="0.2">
      <c r="F200"/>
    </row>
    <row r="201" spans="6:6" x14ac:dyDescent="0.2">
      <c r="F201"/>
    </row>
    <row r="202" spans="6:6" x14ac:dyDescent="0.2">
      <c r="F202"/>
    </row>
    <row r="203" spans="6:6" x14ac:dyDescent="0.2">
      <c r="F203"/>
    </row>
    <row r="204" spans="6:6" x14ac:dyDescent="0.2">
      <c r="F204"/>
    </row>
    <row r="205" spans="6:6" x14ac:dyDescent="0.2">
      <c r="F205"/>
    </row>
    <row r="206" spans="6:6" x14ac:dyDescent="0.2">
      <c r="F206"/>
    </row>
    <row r="207" spans="6:6" x14ac:dyDescent="0.2">
      <c r="F207"/>
    </row>
    <row r="208" spans="6:6" x14ac:dyDescent="0.2">
      <c r="F208"/>
    </row>
    <row r="209" spans="6:6" x14ac:dyDescent="0.2">
      <c r="F209"/>
    </row>
    <row r="210" spans="6:6" x14ac:dyDescent="0.2">
      <c r="F210"/>
    </row>
    <row r="211" spans="6:6" x14ac:dyDescent="0.2">
      <c r="F211"/>
    </row>
    <row r="212" spans="6:6" x14ac:dyDescent="0.2">
      <c r="F212"/>
    </row>
    <row r="213" spans="6:6" x14ac:dyDescent="0.2">
      <c r="F213"/>
    </row>
    <row r="214" spans="6:6" x14ac:dyDescent="0.2">
      <c r="F214"/>
    </row>
    <row r="215" spans="6:6" x14ac:dyDescent="0.2">
      <c r="F215"/>
    </row>
    <row r="216" spans="6:6" x14ac:dyDescent="0.2">
      <c r="F216"/>
    </row>
    <row r="217" spans="6:6" x14ac:dyDescent="0.2">
      <c r="F217"/>
    </row>
    <row r="218" spans="6:6" x14ac:dyDescent="0.2">
      <c r="F218"/>
    </row>
    <row r="219" spans="6:6" x14ac:dyDescent="0.2">
      <c r="F219"/>
    </row>
    <row r="220" spans="6:6" x14ac:dyDescent="0.2">
      <c r="F220"/>
    </row>
    <row r="221" spans="6:6" x14ac:dyDescent="0.2">
      <c r="F221"/>
    </row>
    <row r="222" spans="6:6" x14ac:dyDescent="0.2">
      <c r="F222"/>
    </row>
    <row r="223" spans="6:6" x14ac:dyDescent="0.2">
      <c r="F223"/>
    </row>
    <row r="224" spans="6:6" x14ac:dyDescent="0.2">
      <c r="F224"/>
    </row>
    <row r="225" spans="6:6" x14ac:dyDescent="0.2">
      <c r="F225"/>
    </row>
    <row r="226" spans="6:6" x14ac:dyDescent="0.2">
      <c r="F226"/>
    </row>
    <row r="227" spans="6:6" x14ac:dyDescent="0.2">
      <c r="F227"/>
    </row>
    <row r="228" spans="6:6" x14ac:dyDescent="0.2">
      <c r="F228"/>
    </row>
    <row r="229" spans="6:6" x14ac:dyDescent="0.2">
      <c r="F229"/>
    </row>
    <row r="230" spans="6:6" x14ac:dyDescent="0.2">
      <c r="F230"/>
    </row>
    <row r="231" spans="6:6" x14ac:dyDescent="0.2">
      <c r="F231"/>
    </row>
    <row r="232" spans="6:6" x14ac:dyDescent="0.2">
      <c r="F232"/>
    </row>
    <row r="233" spans="6:6" x14ac:dyDescent="0.2">
      <c r="F233"/>
    </row>
    <row r="234" spans="6:6" x14ac:dyDescent="0.2">
      <c r="F234"/>
    </row>
    <row r="235" spans="6:6" x14ac:dyDescent="0.2">
      <c r="F235"/>
    </row>
    <row r="236" spans="6:6" x14ac:dyDescent="0.2">
      <c r="F236"/>
    </row>
    <row r="237" spans="6:6" x14ac:dyDescent="0.2">
      <c r="F237"/>
    </row>
    <row r="238" spans="6:6" x14ac:dyDescent="0.2">
      <c r="F238"/>
    </row>
    <row r="239" spans="6:6" x14ac:dyDescent="0.2">
      <c r="F239"/>
    </row>
    <row r="240" spans="6:6" x14ac:dyDescent="0.2">
      <c r="F240"/>
    </row>
    <row r="241" spans="6:6" x14ac:dyDescent="0.2">
      <c r="F241"/>
    </row>
    <row r="242" spans="6:6" x14ac:dyDescent="0.2">
      <c r="F242"/>
    </row>
    <row r="243" spans="6:6" x14ac:dyDescent="0.2">
      <c r="F243"/>
    </row>
    <row r="244" spans="6:6" x14ac:dyDescent="0.2">
      <c r="F244"/>
    </row>
    <row r="245" spans="6:6" x14ac:dyDescent="0.2">
      <c r="F245"/>
    </row>
    <row r="246" spans="6:6" x14ac:dyDescent="0.2">
      <c r="F246"/>
    </row>
    <row r="247" spans="6:6" x14ac:dyDescent="0.2">
      <c r="F247"/>
    </row>
    <row r="248" spans="6:6" x14ac:dyDescent="0.2">
      <c r="F248"/>
    </row>
    <row r="249" spans="6:6" x14ac:dyDescent="0.2">
      <c r="F249"/>
    </row>
    <row r="250" spans="6:6" x14ac:dyDescent="0.2">
      <c r="F250"/>
    </row>
    <row r="251" spans="6:6" x14ac:dyDescent="0.2">
      <c r="F251"/>
    </row>
    <row r="252" spans="6:6" x14ac:dyDescent="0.2">
      <c r="F252"/>
    </row>
    <row r="253" spans="6:6" x14ac:dyDescent="0.2">
      <c r="F253"/>
    </row>
    <row r="254" spans="6:6" x14ac:dyDescent="0.2">
      <c r="F254"/>
    </row>
    <row r="255" spans="6:6" x14ac:dyDescent="0.2">
      <c r="F255"/>
    </row>
    <row r="256" spans="6:6" x14ac:dyDescent="0.2">
      <c r="F256"/>
    </row>
    <row r="257" spans="6:6" x14ac:dyDescent="0.2">
      <c r="F257"/>
    </row>
    <row r="258" spans="6:6" x14ac:dyDescent="0.2">
      <c r="F258"/>
    </row>
    <row r="259" spans="6:6" x14ac:dyDescent="0.2">
      <c r="F259"/>
    </row>
    <row r="260" spans="6:6" x14ac:dyDescent="0.2">
      <c r="F260"/>
    </row>
    <row r="261" spans="6:6" x14ac:dyDescent="0.2">
      <c r="F261"/>
    </row>
    <row r="262" spans="6:6" x14ac:dyDescent="0.2">
      <c r="F262"/>
    </row>
    <row r="263" spans="6:6" x14ac:dyDescent="0.2">
      <c r="F263"/>
    </row>
    <row r="264" spans="6:6" x14ac:dyDescent="0.2">
      <c r="F264"/>
    </row>
    <row r="265" spans="6:6" x14ac:dyDescent="0.2">
      <c r="F265"/>
    </row>
    <row r="266" spans="6:6" x14ac:dyDescent="0.2">
      <c r="F266"/>
    </row>
    <row r="267" spans="6:6" x14ac:dyDescent="0.2">
      <c r="F267"/>
    </row>
    <row r="268" spans="6:6" x14ac:dyDescent="0.2">
      <c r="F268"/>
    </row>
    <row r="269" spans="6:6" x14ac:dyDescent="0.2">
      <c r="F269"/>
    </row>
    <row r="270" spans="6:6" x14ac:dyDescent="0.2">
      <c r="F270"/>
    </row>
    <row r="271" spans="6:6" x14ac:dyDescent="0.2">
      <c r="F271"/>
    </row>
    <row r="272" spans="6:6" x14ac:dyDescent="0.2">
      <c r="F272"/>
    </row>
    <row r="273" spans="6:6" x14ac:dyDescent="0.2">
      <c r="F273"/>
    </row>
    <row r="274" spans="6:6" x14ac:dyDescent="0.2">
      <c r="F274"/>
    </row>
    <row r="275" spans="6:6" x14ac:dyDescent="0.2">
      <c r="F275"/>
    </row>
    <row r="276" spans="6:6" x14ac:dyDescent="0.2">
      <c r="F276"/>
    </row>
    <row r="277" spans="6:6" x14ac:dyDescent="0.2">
      <c r="F277"/>
    </row>
    <row r="278" spans="6:6" x14ac:dyDescent="0.2">
      <c r="F278"/>
    </row>
    <row r="279" spans="6:6" x14ac:dyDescent="0.2">
      <c r="F279"/>
    </row>
    <row r="280" spans="6:6" x14ac:dyDescent="0.2">
      <c r="F280"/>
    </row>
    <row r="281" spans="6:6" x14ac:dyDescent="0.2">
      <c r="F281"/>
    </row>
    <row r="282" spans="6:6" x14ac:dyDescent="0.2">
      <c r="F282"/>
    </row>
    <row r="283" spans="6:6" x14ac:dyDescent="0.2">
      <c r="F283"/>
    </row>
    <row r="284" spans="6:6" x14ac:dyDescent="0.2">
      <c r="F284"/>
    </row>
    <row r="285" spans="6:6" x14ac:dyDescent="0.2">
      <c r="F285"/>
    </row>
    <row r="286" spans="6:6" x14ac:dyDescent="0.2">
      <c r="F286"/>
    </row>
    <row r="287" spans="6:6" x14ac:dyDescent="0.2">
      <c r="F287"/>
    </row>
    <row r="288" spans="6:6" x14ac:dyDescent="0.2">
      <c r="F288"/>
    </row>
    <row r="289" spans="6:6" x14ac:dyDescent="0.2">
      <c r="F289"/>
    </row>
    <row r="290" spans="6:6" x14ac:dyDescent="0.2">
      <c r="F290"/>
    </row>
    <row r="291" spans="6:6" x14ac:dyDescent="0.2">
      <c r="F291"/>
    </row>
    <row r="292" spans="6:6" x14ac:dyDescent="0.2">
      <c r="F292"/>
    </row>
    <row r="293" spans="6:6" x14ac:dyDescent="0.2">
      <c r="F293"/>
    </row>
    <row r="294" spans="6:6" x14ac:dyDescent="0.2">
      <c r="F294"/>
    </row>
    <row r="295" spans="6:6" x14ac:dyDescent="0.2">
      <c r="F295"/>
    </row>
    <row r="296" spans="6:6" x14ac:dyDescent="0.2">
      <c r="F296"/>
    </row>
    <row r="297" spans="6:6" x14ac:dyDescent="0.2">
      <c r="F297"/>
    </row>
    <row r="298" spans="6:6" x14ac:dyDescent="0.2">
      <c r="F298"/>
    </row>
    <row r="299" spans="6:6" x14ac:dyDescent="0.2">
      <c r="F299"/>
    </row>
    <row r="300" spans="6:6" x14ac:dyDescent="0.2">
      <c r="F300"/>
    </row>
    <row r="301" spans="6:6" x14ac:dyDescent="0.2">
      <c r="F301"/>
    </row>
    <row r="302" spans="6:6" x14ac:dyDescent="0.2">
      <c r="F302"/>
    </row>
    <row r="303" spans="6:6" x14ac:dyDescent="0.2">
      <c r="F303"/>
    </row>
    <row r="304" spans="6:6" x14ac:dyDescent="0.2">
      <c r="F304"/>
    </row>
    <row r="305" spans="6:6" x14ac:dyDescent="0.2">
      <c r="F305"/>
    </row>
    <row r="306" spans="6:6" x14ac:dyDescent="0.2">
      <c r="F306"/>
    </row>
    <row r="307" spans="6:6" x14ac:dyDescent="0.2">
      <c r="F307"/>
    </row>
    <row r="308" spans="6:6" x14ac:dyDescent="0.2">
      <c r="F308"/>
    </row>
    <row r="309" spans="6:6" x14ac:dyDescent="0.2">
      <c r="F309"/>
    </row>
    <row r="310" spans="6:6" x14ac:dyDescent="0.2">
      <c r="F310"/>
    </row>
    <row r="311" spans="6:6" x14ac:dyDescent="0.2">
      <c r="F311"/>
    </row>
    <row r="312" spans="6:6" x14ac:dyDescent="0.2">
      <c r="F312"/>
    </row>
    <row r="313" spans="6:6" x14ac:dyDescent="0.2">
      <c r="F313"/>
    </row>
    <row r="314" spans="6:6" x14ac:dyDescent="0.2">
      <c r="F314"/>
    </row>
    <row r="315" spans="6:6" x14ac:dyDescent="0.2">
      <c r="F315"/>
    </row>
    <row r="316" spans="6:6" x14ac:dyDescent="0.2">
      <c r="F316"/>
    </row>
    <row r="317" spans="6:6" x14ac:dyDescent="0.2">
      <c r="F317"/>
    </row>
    <row r="318" spans="6:6" x14ac:dyDescent="0.2">
      <c r="F318"/>
    </row>
    <row r="319" spans="6:6" x14ac:dyDescent="0.2">
      <c r="F319"/>
    </row>
    <row r="320" spans="6:6" x14ac:dyDescent="0.2">
      <c r="F320"/>
    </row>
    <row r="321" spans="6:6" x14ac:dyDescent="0.2">
      <c r="F321"/>
    </row>
    <row r="322" spans="6:6" x14ac:dyDescent="0.2">
      <c r="F322"/>
    </row>
    <row r="323" spans="6:6" x14ac:dyDescent="0.2">
      <c r="F323"/>
    </row>
    <row r="324" spans="6:6" x14ac:dyDescent="0.2">
      <c r="F324"/>
    </row>
    <row r="325" spans="6:6" x14ac:dyDescent="0.2">
      <c r="F325"/>
    </row>
    <row r="326" spans="6:6" x14ac:dyDescent="0.2">
      <c r="F326"/>
    </row>
    <row r="327" spans="6:6" x14ac:dyDescent="0.2">
      <c r="F327"/>
    </row>
    <row r="328" spans="6:6" x14ac:dyDescent="0.2">
      <c r="F328"/>
    </row>
    <row r="329" spans="6:6" x14ac:dyDescent="0.2">
      <c r="F329"/>
    </row>
    <row r="330" spans="6:6" x14ac:dyDescent="0.2">
      <c r="F330"/>
    </row>
    <row r="331" spans="6:6" x14ac:dyDescent="0.2">
      <c r="F331"/>
    </row>
    <row r="332" spans="6:6" x14ac:dyDescent="0.2">
      <c r="F332"/>
    </row>
    <row r="333" spans="6:6" x14ac:dyDescent="0.2">
      <c r="F333"/>
    </row>
    <row r="334" spans="6:6" x14ac:dyDescent="0.2">
      <c r="F334"/>
    </row>
    <row r="335" spans="6:6" x14ac:dyDescent="0.2">
      <c r="F335"/>
    </row>
    <row r="336" spans="6:6" x14ac:dyDescent="0.2">
      <c r="F336"/>
    </row>
    <row r="337" spans="6:6" x14ac:dyDescent="0.2">
      <c r="F337"/>
    </row>
    <row r="338" spans="6:6" x14ac:dyDescent="0.2">
      <c r="F338"/>
    </row>
    <row r="339" spans="6:6" x14ac:dyDescent="0.2">
      <c r="F339"/>
    </row>
    <row r="340" spans="6:6" x14ac:dyDescent="0.2">
      <c r="F340"/>
    </row>
    <row r="341" spans="6:6" x14ac:dyDescent="0.2">
      <c r="F341"/>
    </row>
    <row r="342" spans="6:6" x14ac:dyDescent="0.2">
      <c r="F342"/>
    </row>
    <row r="343" spans="6:6" x14ac:dyDescent="0.2">
      <c r="F343"/>
    </row>
    <row r="344" spans="6:6" x14ac:dyDescent="0.2">
      <c r="F344"/>
    </row>
    <row r="345" spans="6:6" x14ac:dyDescent="0.2">
      <c r="F345"/>
    </row>
    <row r="346" spans="6:6" x14ac:dyDescent="0.2">
      <c r="F346"/>
    </row>
    <row r="347" spans="6:6" x14ac:dyDescent="0.2">
      <c r="F347"/>
    </row>
    <row r="348" spans="6:6" x14ac:dyDescent="0.2">
      <c r="F348"/>
    </row>
    <row r="349" spans="6:6" x14ac:dyDescent="0.2">
      <c r="F349"/>
    </row>
    <row r="350" spans="6:6" x14ac:dyDescent="0.2">
      <c r="F350"/>
    </row>
    <row r="351" spans="6:6" x14ac:dyDescent="0.2">
      <c r="F351"/>
    </row>
    <row r="352" spans="6:6" x14ac:dyDescent="0.2">
      <c r="F352"/>
    </row>
    <row r="353" spans="6:6" x14ac:dyDescent="0.2">
      <c r="F353"/>
    </row>
    <row r="354" spans="6:6" x14ac:dyDescent="0.2">
      <c r="F354"/>
    </row>
    <row r="355" spans="6:6" x14ac:dyDescent="0.2">
      <c r="F355"/>
    </row>
    <row r="356" spans="6:6" x14ac:dyDescent="0.2">
      <c r="F356"/>
    </row>
    <row r="357" spans="6:6" x14ac:dyDescent="0.2">
      <c r="F357"/>
    </row>
    <row r="358" spans="6:6" x14ac:dyDescent="0.2">
      <c r="F358"/>
    </row>
    <row r="359" spans="6:6" x14ac:dyDescent="0.2">
      <c r="F359"/>
    </row>
    <row r="360" spans="6:6" x14ac:dyDescent="0.2">
      <c r="F360"/>
    </row>
    <row r="361" spans="6:6" x14ac:dyDescent="0.2">
      <c r="F361"/>
    </row>
    <row r="362" spans="6:6" x14ac:dyDescent="0.2">
      <c r="F362"/>
    </row>
    <row r="363" spans="6:6" x14ac:dyDescent="0.2">
      <c r="F363"/>
    </row>
    <row r="364" spans="6:6" x14ac:dyDescent="0.2">
      <c r="F364"/>
    </row>
    <row r="365" spans="6:6" x14ac:dyDescent="0.2">
      <c r="F365"/>
    </row>
    <row r="366" spans="6:6" x14ac:dyDescent="0.2">
      <c r="F366"/>
    </row>
    <row r="367" spans="6:6" x14ac:dyDescent="0.2">
      <c r="F367"/>
    </row>
    <row r="368" spans="6:6" x14ac:dyDescent="0.2">
      <c r="F368"/>
    </row>
    <row r="369" spans="6:6" x14ac:dyDescent="0.2">
      <c r="F369"/>
    </row>
    <row r="370" spans="6:6" x14ac:dyDescent="0.2">
      <c r="F370"/>
    </row>
    <row r="371" spans="6:6" x14ac:dyDescent="0.2">
      <c r="F371"/>
    </row>
    <row r="372" spans="6:6" x14ac:dyDescent="0.2">
      <c r="F372"/>
    </row>
    <row r="373" spans="6:6" x14ac:dyDescent="0.2">
      <c r="F373"/>
    </row>
    <row r="374" spans="6:6" x14ac:dyDescent="0.2">
      <c r="F374"/>
    </row>
    <row r="375" spans="6:6" x14ac:dyDescent="0.2">
      <c r="F375"/>
    </row>
    <row r="376" spans="6:6" x14ac:dyDescent="0.2">
      <c r="F376"/>
    </row>
    <row r="377" spans="6:6" x14ac:dyDescent="0.2">
      <c r="F377"/>
    </row>
    <row r="378" spans="6:6" x14ac:dyDescent="0.2">
      <c r="F378"/>
    </row>
    <row r="379" spans="6:6" x14ac:dyDescent="0.2">
      <c r="F379"/>
    </row>
    <row r="380" spans="6:6" x14ac:dyDescent="0.2">
      <c r="F380"/>
    </row>
    <row r="381" spans="6:6" x14ac:dyDescent="0.2">
      <c r="F381"/>
    </row>
    <row r="382" spans="6:6" x14ac:dyDescent="0.2">
      <c r="F382"/>
    </row>
    <row r="383" spans="6:6" x14ac:dyDescent="0.2">
      <c r="F383"/>
    </row>
    <row r="384" spans="6:6" x14ac:dyDescent="0.2">
      <c r="F384"/>
    </row>
    <row r="385" spans="6:6" x14ac:dyDescent="0.2">
      <c r="F385"/>
    </row>
    <row r="386" spans="6:6" x14ac:dyDescent="0.2">
      <c r="F386"/>
    </row>
    <row r="387" spans="6:6" x14ac:dyDescent="0.2">
      <c r="F387"/>
    </row>
    <row r="388" spans="6:6" x14ac:dyDescent="0.2">
      <c r="F388"/>
    </row>
    <row r="389" spans="6:6" x14ac:dyDescent="0.2">
      <c r="F389"/>
    </row>
    <row r="390" spans="6:6" x14ac:dyDescent="0.2">
      <c r="F390"/>
    </row>
    <row r="391" spans="6:6" x14ac:dyDescent="0.2">
      <c r="F391"/>
    </row>
    <row r="392" spans="6:6" x14ac:dyDescent="0.2">
      <c r="F392"/>
    </row>
    <row r="393" spans="6:6" x14ac:dyDescent="0.2">
      <c r="F393"/>
    </row>
    <row r="394" spans="6:6" x14ac:dyDescent="0.2">
      <c r="F394"/>
    </row>
    <row r="395" spans="6:6" x14ac:dyDescent="0.2">
      <c r="F395"/>
    </row>
    <row r="396" spans="6:6" x14ac:dyDescent="0.2">
      <c r="F396"/>
    </row>
    <row r="397" spans="6:6" x14ac:dyDescent="0.2">
      <c r="F397"/>
    </row>
    <row r="398" spans="6:6" x14ac:dyDescent="0.2">
      <c r="F398"/>
    </row>
    <row r="399" spans="6:6" x14ac:dyDescent="0.2">
      <c r="F399"/>
    </row>
    <row r="400" spans="6:6" x14ac:dyDescent="0.2">
      <c r="F400"/>
    </row>
    <row r="401" spans="6:6" x14ac:dyDescent="0.2">
      <c r="F401"/>
    </row>
    <row r="402" spans="6:6" x14ac:dyDescent="0.2">
      <c r="F402"/>
    </row>
    <row r="403" spans="6:6" x14ac:dyDescent="0.2">
      <c r="F403"/>
    </row>
    <row r="404" spans="6:6" x14ac:dyDescent="0.2">
      <c r="F404"/>
    </row>
    <row r="405" spans="6:6" x14ac:dyDescent="0.2">
      <c r="F405"/>
    </row>
    <row r="406" spans="6:6" x14ac:dyDescent="0.2">
      <c r="F406"/>
    </row>
    <row r="407" spans="6:6" x14ac:dyDescent="0.2">
      <c r="F407"/>
    </row>
    <row r="408" spans="6:6" x14ac:dyDescent="0.2">
      <c r="F408"/>
    </row>
    <row r="409" spans="6:6" x14ac:dyDescent="0.2">
      <c r="F409"/>
    </row>
    <row r="410" spans="6:6" x14ac:dyDescent="0.2">
      <c r="F410"/>
    </row>
    <row r="411" spans="6:6" x14ac:dyDescent="0.2">
      <c r="F411"/>
    </row>
    <row r="412" spans="6:6" x14ac:dyDescent="0.2">
      <c r="F412"/>
    </row>
    <row r="413" spans="6:6" x14ac:dyDescent="0.2">
      <c r="F413"/>
    </row>
    <row r="414" spans="6:6" x14ac:dyDescent="0.2">
      <c r="F414"/>
    </row>
    <row r="415" spans="6:6" x14ac:dyDescent="0.2">
      <c r="F415"/>
    </row>
    <row r="416" spans="6:6" x14ac:dyDescent="0.2">
      <c r="F416"/>
    </row>
    <row r="417" spans="6:6" x14ac:dyDescent="0.2">
      <c r="F417"/>
    </row>
    <row r="418" spans="6:6" x14ac:dyDescent="0.2">
      <c r="F418"/>
    </row>
    <row r="419" spans="6:6" x14ac:dyDescent="0.2">
      <c r="F419"/>
    </row>
    <row r="420" spans="6:6" x14ac:dyDescent="0.2">
      <c r="F420"/>
    </row>
    <row r="421" spans="6:6" x14ac:dyDescent="0.2">
      <c r="F421"/>
    </row>
    <row r="422" spans="6:6" x14ac:dyDescent="0.2">
      <c r="F422"/>
    </row>
    <row r="423" spans="6:6" x14ac:dyDescent="0.2">
      <c r="F423"/>
    </row>
    <row r="424" spans="6:6" x14ac:dyDescent="0.2">
      <c r="F424"/>
    </row>
    <row r="425" spans="6:6" x14ac:dyDescent="0.2">
      <c r="F425"/>
    </row>
    <row r="426" spans="6:6" x14ac:dyDescent="0.2">
      <c r="F426"/>
    </row>
    <row r="427" spans="6:6" x14ac:dyDescent="0.2">
      <c r="F427"/>
    </row>
    <row r="428" spans="6:6" x14ac:dyDescent="0.2">
      <c r="F428"/>
    </row>
    <row r="429" spans="6:6" x14ac:dyDescent="0.2">
      <c r="F429"/>
    </row>
    <row r="430" spans="6:6" x14ac:dyDescent="0.2">
      <c r="F430"/>
    </row>
    <row r="431" spans="6:6" x14ac:dyDescent="0.2">
      <c r="F431"/>
    </row>
    <row r="432" spans="6:6" x14ac:dyDescent="0.2">
      <c r="F432"/>
    </row>
    <row r="433" spans="6:6" x14ac:dyDescent="0.2">
      <c r="F433"/>
    </row>
    <row r="434" spans="6:6" x14ac:dyDescent="0.2">
      <c r="F434"/>
    </row>
    <row r="435" spans="6:6" x14ac:dyDescent="0.2">
      <c r="F435"/>
    </row>
    <row r="436" spans="6:6" x14ac:dyDescent="0.2">
      <c r="F436"/>
    </row>
    <row r="437" spans="6:6" x14ac:dyDescent="0.2">
      <c r="F437"/>
    </row>
    <row r="438" spans="6:6" x14ac:dyDescent="0.2">
      <c r="F438"/>
    </row>
    <row r="439" spans="6:6" x14ac:dyDescent="0.2">
      <c r="F439"/>
    </row>
    <row r="440" spans="6:6" x14ac:dyDescent="0.2">
      <c r="F440"/>
    </row>
    <row r="441" spans="6:6" x14ac:dyDescent="0.2">
      <c r="F441"/>
    </row>
    <row r="442" spans="6:6" x14ac:dyDescent="0.2">
      <c r="F442"/>
    </row>
    <row r="443" spans="6:6" x14ac:dyDescent="0.2">
      <c r="F443"/>
    </row>
    <row r="444" spans="6:6" x14ac:dyDescent="0.2">
      <c r="F444"/>
    </row>
    <row r="445" spans="6:6" x14ac:dyDescent="0.2">
      <c r="F445"/>
    </row>
    <row r="446" spans="6:6" x14ac:dyDescent="0.2">
      <c r="F446"/>
    </row>
    <row r="447" spans="6:6" x14ac:dyDescent="0.2">
      <c r="F447"/>
    </row>
    <row r="448" spans="6:6" x14ac:dyDescent="0.2">
      <c r="F448"/>
    </row>
    <row r="449" spans="6:6" x14ac:dyDescent="0.2">
      <c r="F449"/>
    </row>
    <row r="450" spans="6:6" x14ac:dyDescent="0.2">
      <c r="F450"/>
    </row>
    <row r="451" spans="6:6" x14ac:dyDescent="0.2">
      <c r="F451"/>
    </row>
    <row r="452" spans="6:6" x14ac:dyDescent="0.2">
      <c r="F452"/>
    </row>
    <row r="453" spans="6:6" x14ac:dyDescent="0.2">
      <c r="F453"/>
    </row>
    <row r="454" spans="6:6" x14ac:dyDescent="0.2">
      <c r="F454"/>
    </row>
    <row r="455" spans="6:6" x14ac:dyDescent="0.2">
      <c r="F455"/>
    </row>
    <row r="456" spans="6:6" x14ac:dyDescent="0.2">
      <c r="F456"/>
    </row>
    <row r="457" spans="6:6" x14ac:dyDescent="0.2">
      <c r="F457"/>
    </row>
    <row r="458" spans="6:6" x14ac:dyDescent="0.2">
      <c r="F458"/>
    </row>
    <row r="459" spans="6:6" x14ac:dyDescent="0.2">
      <c r="F459"/>
    </row>
    <row r="460" spans="6:6" x14ac:dyDescent="0.2">
      <c r="F460"/>
    </row>
    <row r="461" spans="6:6" x14ac:dyDescent="0.2">
      <c r="F461"/>
    </row>
    <row r="462" spans="6:6" x14ac:dyDescent="0.2">
      <c r="F462"/>
    </row>
    <row r="463" spans="6:6" x14ac:dyDescent="0.2">
      <c r="F463"/>
    </row>
    <row r="464" spans="6:6" x14ac:dyDescent="0.2">
      <c r="F464"/>
    </row>
    <row r="465" spans="6:6" x14ac:dyDescent="0.2">
      <c r="F465"/>
    </row>
    <row r="466" spans="6:6" x14ac:dyDescent="0.2">
      <c r="F466"/>
    </row>
    <row r="467" spans="6:6" x14ac:dyDescent="0.2">
      <c r="F467"/>
    </row>
    <row r="468" spans="6:6" x14ac:dyDescent="0.2">
      <c r="F468"/>
    </row>
    <row r="469" spans="6:6" x14ac:dyDescent="0.2">
      <c r="F469"/>
    </row>
    <row r="470" spans="6:6" x14ac:dyDescent="0.2">
      <c r="F470"/>
    </row>
    <row r="471" spans="6:6" x14ac:dyDescent="0.2">
      <c r="F471"/>
    </row>
    <row r="472" spans="6:6" x14ac:dyDescent="0.2">
      <c r="F472"/>
    </row>
    <row r="473" spans="6:6" x14ac:dyDescent="0.2">
      <c r="F473"/>
    </row>
    <row r="474" spans="6:6" x14ac:dyDescent="0.2">
      <c r="F474"/>
    </row>
    <row r="475" spans="6:6" x14ac:dyDescent="0.2">
      <c r="F475"/>
    </row>
    <row r="476" spans="6:6" x14ac:dyDescent="0.2">
      <c r="F476"/>
    </row>
    <row r="477" spans="6:6" x14ac:dyDescent="0.2">
      <c r="F477"/>
    </row>
    <row r="478" spans="6:6" x14ac:dyDescent="0.2">
      <c r="F478"/>
    </row>
    <row r="479" spans="6:6" x14ac:dyDescent="0.2">
      <c r="F479"/>
    </row>
    <row r="480" spans="6:6" x14ac:dyDescent="0.2">
      <c r="F480"/>
    </row>
    <row r="481" spans="6:6" x14ac:dyDescent="0.2">
      <c r="F481"/>
    </row>
    <row r="482" spans="6:6" x14ac:dyDescent="0.2">
      <c r="F482"/>
    </row>
    <row r="483" spans="6:6" x14ac:dyDescent="0.2">
      <c r="F483"/>
    </row>
    <row r="484" spans="6:6" x14ac:dyDescent="0.2">
      <c r="F484"/>
    </row>
    <row r="485" spans="6:6" x14ac:dyDescent="0.2">
      <c r="F485"/>
    </row>
    <row r="486" spans="6:6" x14ac:dyDescent="0.2">
      <c r="F486"/>
    </row>
    <row r="487" spans="6:6" x14ac:dyDescent="0.2">
      <c r="F487"/>
    </row>
    <row r="488" spans="6:6" x14ac:dyDescent="0.2">
      <c r="F488"/>
    </row>
    <row r="489" spans="6:6" x14ac:dyDescent="0.2">
      <c r="F489"/>
    </row>
    <row r="490" spans="6:6" x14ac:dyDescent="0.2">
      <c r="F490"/>
    </row>
    <row r="491" spans="6:6" x14ac:dyDescent="0.2">
      <c r="F491"/>
    </row>
    <row r="492" spans="6:6" x14ac:dyDescent="0.2">
      <c r="F492"/>
    </row>
    <row r="493" spans="6:6" x14ac:dyDescent="0.2">
      <c r="F493"/>
    </row>
    <row r="494" spans="6:6" x14ac:dyDescent="0.2">
      <c r="F494"/>
    </row>
    <row r="495" spans="6:6" x14ac:dyDescent="0.2">
      <c r="F495"/>
    </row>
    <row r="496" spans="6:6" x14ac:dyDescent="0.2">
      <c r="F496"/>
    </row>
    <row r="497" spans="6:6" x14ac:dyDescent="0.2">
      <c r="F497"/>
    </row>
    <row r="498" spans="6:6" x14ac:dyDescent="0.2">
      <c r="F498"/>
    </row>
    <row r="499" spans="6:6" x14ac:dyDescent="0.2">
      <c r="F499"/>
    </row>
    <row r="500" spans="6:6" x14ac:dyDescent="0.2">
      <c r="F500"/>
    </row>
    <row r="501" spans="6:6" x14ac:dyDescent="0.2">
      <c r="F501"/>
    </row>
    <row r="502" spans="6:6" x14ac:dyDescent="0.2">
      <c r="F502"/>
    </row>
    <row r="503" spans="6:6" x14ac:dyDescent="0.2">
      <c r="F503"/>
    </row>
    <row r="504" spans="6:6" x14ac:dyDescent="0.2">
      <c r="F504"/>
    </row>
    <row r="505" spans="6:6" x14ac:dyDescent="0.2">
      <c r="F505"/>
    </row>
    <row r="506" spans="6:6" x14ac:dyDescent="0.2">
      <c r="F506"/>
    </row>
    <row r="507" spans="6:6" x14ac:dyDescent="0.2">
      <c r="F507"/>
    </row>
    <row r="508" spans="6:6" x14ac:dyDescent="0.2">
      <c r="F508"/>
    </row>
    <row r="509" spans="6:6" x14ac:dyDescent="0.2">
      <c r="F509"/>
    </row>
    <row r="510" spans="6:6" x14ac:dyDescent="0.2">
      <c r="F510"/>
    </row>
    <row r="511" spans="6:6" x14ac:dyDescent="0.2">
      <c r="F511"/>
    </row>
    <row r="512" spans="6:6" x14ac:dyDescent="0.2">
      <c r="F512"/>
    </row>
    <row r="513" spans="6:6" x14ac:dyDescent="0.2">
      <c r="F513"/>
    </row>
    <row r="514" spans="6:6" x14ac:dyDescent="0.2">
      <c r="F514"/>
    </row>
    <row r="515" spans="6:6" x14ac:dyDescent="0.2">
      <c r="F515"/>
    </row>
    <row r="516" spans="6:6" x14ac:dyDescent="0.2">
      <c r="F516"/>
    </row>
    <row r="517" spans="6:6" x14ac:dyDescent="0.2">
      <c r="F517"/>
    </row>
    <row r="518" spans="6:6" x14ac:dyDescent="0.2">
      <c r="F518"/>
    </row>
    <row r="519" spans="6:6" x14ac:dyDescent="0.2">
      <c r="F519"/>
    </row>
    <row r="520" spans="6:6" x14ac:dyDescent="0.2">
      <c r="F520"/>
    </row>
    <row r="521" spans="6:6" x14ac:dyDescent="0.2">
      <c r="F521"/>
    </row>
    <row r="522" spans="6:6" x14ac:dyDescent="0.2">
      <c r="F522"/>
    </row>
    <row r="523" spans="6:6" x14ac:dyDescent="0.2">
      <c r="F523"/>
    </row>
    <row r="524" spans="6:6" x14ac:dyDescent="0.2">
      <c r="F524"/>
    </row>
    <row r="525" spans="6:6" x14ac:dyDescent="0.2">
      <c r="F525"/>
    </row>
    <row r="526" spans="6:6" x14ac:dyDescent="0.2">
      <c r="F526"/>
    </row>
    <row r="527" spans="6:6" x14ac:dyDescent="0.2">
      <c r="F527"/>
    </row>
    <row r="528" spans="6:6" x14ac:dyDescent="0.2">
      <c r="F528"/>
    </row>
    <row r="529" spans="6:6" x14ac:dyDescent="0.2">
      <c r="F529"/>
    </row>
    <row r="530" spans="6:6" x14ac:dyDescent="0.2">
      <c r="F530"/>
    </row>
    <row r="531" spans="6:6" x14ac:dyDescent="0.2">
      <c r="F531"/>
    </row>
    <row r="532" spans="6:6" x14ac:dyDescent="0.2">
      <c r="F532"/>
    </row>
    <row r="533" spans="6:6" x14ac:dyDescent="0.2">
      <c r="F533"/>
    </row>
    <row r="534" spans="6:6" x14ac:dyDescent="0.2">
      <c r="F534"/>
    </row>
    <row r="535" spans="6:6" x14ac:dyDescent="0.2">
      <c r="F535"/>
    </row>
    <row r="536" spans="6:6" x14ac:dyDescent="0.2">
      <c r="F536"/>
    </row>
    <row r="537" spans="6:6" x14ac:dyDescent="0.2">
      <c r="F537"/>
    </row>
    <row r="538" spans="6:6" x14ac:dyDescent="0.2">
      <c r="F538"/>
    </row>
    <row r="539" spans="6:6" x14ac:dyDescent="0.2">
      <c r="F539"/>
    </row>
    <row r="540" spans="6:6" x14ac:dyDescent="0.2">
      <c r="F540"/>
    </row>
    <row r="541" spans="6:6" x14ac:dyDescent="0.2">
      <c r="F541"/>
    </row>
    <row r="542" spans="6:6" x14ac:dyDescent="0.2">
      <c r="F542"/>
    </row>
    <row r="543" spans="6:6" x14ac:dyDescent="0.2">
      <c r="F543"/>
    </row>
    <row r="544" spans="6:6" x14ac:dyDescent="0.2">
      <c r="F544"/>
    </row>
    <row r="545" spans="6:6" x14ac:dyDescent="0.2">
      <c r="F545"/>
    </row>
    <row r="546" spans="6:6" x14ac:dyDescent="0.2">
      <c r="F546"/>
    </row>
    <row r="547" spans="6:6" x14ac:dyDescent="0.2">
      <c r="F547"/>
    </row>
    <row r="548" spans="6:6" x14ac:dyDescent="0.2">
      <c r="F548"/>
    </row>
    <row r="549" spans="6:6" x14ac:dyDescent="0.2">
      <c r="F549"/>
    </row>
    <row r="550" spans="6:6" x14ac:dyDescent="0.2">
      <c r="F550"/>
    </row>
    <row r="551" spans="6:6" x14ac:dyDescent="0.2">
      <c r="F551"/>
    </row>
    <row r="552" spans="6:6" x14ac:dyDescent="0.2">
      <c r="F552"/>
    </row>
    <row r="553" spans="6:6" x14ac:dyDescent="0.2">
      <c r="F553"/>
    </row>
    <row r="554" spans="6:6" x14ac:dyDescent="0.2">
      <c r="F554"/>
    </row>
    <row r="555" spans="6:6" x14ac:dyDescent="0.2">
      <c r="F555"/>
    </row>
    <row r="556" spans="6:6" x14ac:dyDescent="0.2">
      <c r="F556"/>
    </row>
    <row r="557" spans="6:6" x14ac:dyDescent="0.2">
      <c r="F557"/>
    </row>
    <row r="558" spans="6:6" x14ac:dyDescent="0.2">
      <c r="F558"/>
    </row>
    <row r="559" spans="6:6" x14ac:dyDescent="0.2">
      <c r="F559"/>
    </row>
    <row r="560" spans="6:6" x14ac:dyDescent="0.2">
      <c r="F560"/>
    </row>
    <row r="561" spans="6:6" x14ac:dyDescent="0.2">
      <c r="F561"/>
    </row>
    <row r="562" spans="6:6" x14ac:dyDescent="0.2">
      <c r="F562"/>
    </row>
    <row r="563" spans="6:6" x14ac:dyDescent="0.2">
      <c r="F563"/>
    </row>
    <row r="564" spans="6:6" x14ac:dyDescent="0.2">
      <c r="F564"/>
    </row>
    <row r="565" spans="6:6" x14ac:dyDescent="0.2">
      <c r="F565"/>
    </row>
    <row r="566" spans="6:6" x14ac:dyDescent="0.2">
      <c r="F566"/>
    </row>
    <row r="567" spans="6:6" x14ac:dyDescent="0.2">
      <c r="F567"/>
    </row>
    <row r="568" spans="6:6" x14ac:dyDescent="0.2">
      <c r="F568"/>
    </row>
    <row r="569" spans="6:6" x14ac:dyDescent="0.2">
      <c r="F569"/>
    </row>
    <row r="570" spans="6:6" x14ac:dyDescent="0.2">
      <c r="F570"/>
    </row>
    <row r="571" spans="6:6" x14ac:dyDescent="0.2">
      <c r="F571"/>
    </row>
    <row r="572" spans="6:6" x14ac:dyDescent="0.2">
      <c r="F572"/>
    </row>
    <row r="573" spans="6:6" x14ac:dyDescent="0.2">
      <c r="F573"/>
    </row>
    <row r="574" spans="6:6" x14ac:dyDescent="0.2">
      <c r="F574"/>
    </row>
    <row r="575" spans="6:6" x14ac:dyDescent="0.2">
      <c r="F575"/>
    </row>
    <row r="576" spans="6:6" x14ac:dyDescent="0.2">
      <c r="F576"/>
    </row>
    <row r="577" spans="6:6" x14ac:dyDescent="0.2">
      <c r="F577"/>
    </row>
    <row r="578" spans="6:6" x14ac:dyDescent="0.2">
      <c r="F578"/>
    </row>
    <row r="579" spans="6:6" x14ac:dyDescent="0.2">
      <c r="F579"/>
    </row>
    <row r="580" spans="6:6" x14ac:dyDescent="0.2">
      <c r="F580"/>
    </row>
    <row r="581" spans="6:6" x14ac:dyDescent="0.2">
      <c r="F581"/>
    </row>
    <row r="582" spans="6:6" x14ac:dyDescent="0.2">
      <c r="F582"/>
    </row>
    <row r="583" spans="6:6" x14ac:dyDescent="0.2">
      <c r="F583"/>
    </row>
    <row r="584" spans="6:6" x14ac:dyDescent="0.2">
      <c r="F584"/>
    </row>
    <row r="585" spans="6:6" x14ac:dyDescent="0.2">
      <c r="F585"/>
    </row>
    <row r="586" spans="6:6" x14ac:dyDescent="0.2">
      <c r="F586"/>
    </row>
    <row r="587" spans="6:6" x14ac:dyDescent="0.2">
      <c r="F587"/>
    </row>
    <row r="588" spans="6:6" x14ac:dyDescent="0.2">
      <c r="F588"/>
    </row>
    <row r="589" spans="6:6" x14ac:dyDescent="0.2">
      <c r="F589"/>
    </row>
    <row r="590" spans="6:6" x14ac:dyDescent="0.2">
      <c r="F590"/>
    </row>
    <row r="591" spans="6:6" x14ac:dyDescent="0.2">
      <c r="F591"/>
    </row>
    <row r="592" spans="6:6" x14ac:dyDescent="0.2">
      <c r="F592"/>
    </row>
    <row r="593" spans="6:6" x14ac:dyDescent="0.2">
      <c r="F593"/>
    </row>
    <row r="594" spans="6:6" x14ac:dyDescent="0.2">
      <c r="F594"/>
    </row>
    <row r="595" spans="6:6" x14ac:dyDescent="0.2">
      <c r="F595"/>
    </row>
    <row r="596" spans="6:6" x14ac:dyDescent="0.2">
      <c r="F596"/>
    </row>
    <row r="597" spans="6:6" x14ac:dyDescent="0.2">
      <c r="F597"/>
    </row>
    <row r="598" spans="6:6" x14ac:dyDescent="0.2">
      <c r="F598"/>
    </row>
    <row r="599" spans="6:6" x14ac:dyDescent="0.2">
      <c r="F599"/>
    </row>
    <row r="600" spans="6:6" x14ac:dyDescent="0.2">
      <c r="F600"/>
    </row>
    <row r="601" spans="6:6" x14ac:dyDescent="0.2">
      <c r="F601"/>
    </row>
    <row r="602" spans="6:6" x14ac:dyDescent="0.2">
      <c r="F602"/>
    </row>
    <row r="603" spans="6:6" x14ac:dyDescent="0.2">
      <c r="F603"/>
    </row>
    <row r="604" spans="6:6" x14ac:dyDescent="0.2">
      <c r="F604"/>
    </row>
    <row r="605" spans="6:6" x14ac:dyDescent="0.2">
      <c r="F605"/>
    </row>
    <row r="606" spans="6:6" x14ac:dyDescent="0.2">
      <c r="F606"/>
    </row>
    <row r="607" spans="6:6" x14ac:dyDescent="0.2">
      <c r="F607"/>
    </row>
    <row r="608" spans="6:6" x14ac:dyDescent="0.2">
      <c r="F608"/>
    </row>
    <row r="609" spans="6:6" x14ac:dyDescent="0.2">
      <c r="F609"/>
    </row>
    <row r="610" spans="6:6" x14ac:dyDescent="0.2">
      <c r="F610"/>
    </row>
    <row r="611" spans="6:6" x14ac:dyDescent="0.2">
      <c r="F611"/>
    </row>
    <row r="612" spans="6:6" x14ac:dyDescent="0.2">
      <c r="F612"/>
    </row>
    <row r="613" spans="6:6" x14ac:dyDescent="0.2">
      <c r="F613"/>
    </row>
    <row r="614" spans="6:6" x14ac:dyDescent="0.2">
      <c r="F614"/>
    </row>
    <row r="615" spans="6:6" x14ac:dyDescent="0.2">
      <c r="F615"/>
    </row>
    <row r="616" spans="6:6" x14ac:dyDescent="0.2">
      <c r="F616"/>
    </row>
    <row r="617" spans="6:6" x14ac:dyDescent="0.2">
      <c r="F617"/>
    </row>
    <row r="618" spans="6:6" x14ac:dyDescent="0.2">
      <c r="F618"/>
    </row>
    <row r="619" spans="6:6" x14ac:dyDescent="0.2">
      <c r="F619"/>
    </row>
    <row r="620" spans="6:6" x14ac:dyDescent="0.2">
      <c r="F620"/>
    </row>
    <row r="621" spans="6:6" x14ac:dyDescent="0.2">
      <c r="F621"/>
    </row>
    <row r="622" spans="6:6" x14ac:dyDescent="0.2">
      <c r="F622"/>
    </row>
    <row r="623" spans="6:6" x14ac:dyDescent="0.2">
      <c r="F623"/>
    </row>
    <row r="624" spans="6:6" x14ac:dyDescent="0.2">
      <c r="F624"/>
    </row>
    <row r="625" spans="6:6" x14ac:dyDescent="0.2">
      <c r="F625"/>
    </row>
    <row r="626" spans="6:6" x14ac:dyDescent="0.2">
      <c r="F626"/>
    </row>
    <row r="627" spans="6:6" x14ac:dyDescent="0.2">
      <c r="F627"/>
    </row>
    <row r="628" spans="6:6" x14ac:dyDescent="0.2">
      <c r="F628"/>
    </row>
    <row r="629" spans="6:6" x14ac:dyDescent="0.2">
      <c r="F629"/>
    </row>
    <row r="630" spans="6:6" x14ac:dyDescent="0.2">
      <c r="F630"/>
    </row>
    <row r="631" spans="6:6" x14ac:dyDescent="0.2">
      <c r="F631"/>
    </row>
    <row r="632" spans="6:6" x14ac:dyDescent="0.2">
      <c r="F632"/>
    </row>
    <row r="633" spans="6:6" x14ac:dyDescent="0.2">
      <c r="F633"/>
    </row>
    <row r="634" spans="6:6" x14ac:dyDescent="0.2">
      <c r="F634"/>
    </row>
    <row r="635" spans="6:6" x14ac:dyDescent="0.2">
      <c r="F635"/>
    </row>
    <row r="636" spans="6:6" x14ac:dyDescent="0.2">
      <c r="F636"/>
    </row>
    <row r="637" spans="6:6" x14ac:dyDescent="0.2">
      <c r="F637"/>
    </row>
    <row r="638" spans="6:6" x14ac:dyDescent="0.2">
      <c r="F638"/>
    </row>
    <row r="639" spans="6:6" x14ac:dyDescent="0.2">
      <c r="F639"/>
    </row>
    <row r="640" spans="6:6" x14ac:dyDescent="0.2">
      <c r="F640"/>
    </row>
    <row r="641" spans="6:6" x14ac:dyDescent="0.2">
      <c r="F641"/>
    </row>
    <row r="642" spans="6:6" x14ac:dyDescent="0.2">
      <c r="F642"/>
    </row>
    <row r="643" spans="6:6" x14ac:dyDescent="0.2">
      <c r="F643"/>
    </row>
    <row r="644" spans="6:6" x14ac:dyDescent="0.2">
      <c r="F644"/>
    </row>
    <row r="645" spans="6:6" x14ac:dyDescent="0.2">
      <c r="F645"/>
    </row>
    <row r="646" spans="6:6" x14ac:dyDescent="0.2">
      <c r="F646"/>
    </row>
    <row r="647" spans="6:6" x14ac:dyDescent="0.2">
      <c r="F647"/>
    </row>
    <row r="648" spans="6:6" x14ac:dyDescent="0.2">
      <c r="F648"/>
    </row>
    <row r="649" spans="6:6" x14ac:dyDescent="0.2">
      <c r="F649"/>
    </row>
    <row r="650" spans="6:6" x14ac:dyDescent="0.2">
      <c r="F650"/>
    </row>
    <row r="651" spans="6:6" x14ac:dyDescent="0.2">
      <c r="F651"/>
    </row>
    <row r="652" spans="6:6" x14ac:dyDescent="0.2">
      <c r="F652"/>
    </row>
    <row r="653" spans="6:6" x14ac:dyDescent="0.2">
      <c r="F653"/>
    </row>
    <row r="654" spans="6:6" x14ac:dyDescent="0.2">
      <c r="F654"/>
    </row>
    <row r="655" spans="6:6" x14ac:dyDescent="0.2">
      <c r="F655"/>
    </row>
    <row r="656" spans="6:6" x14ac:dyDescent="0.2">
      <c r="F656"/>
    </row>
    <row r="657" spans="6:6" x14ac:dyDescent="0.2">
      <c r="F657"/>
    </row>
    <row r="658" spans="6:6" x14ac:dyDescent="0.2">
      <c r="F658"/>
    </row>
    <row r="659" spans="6:6" x14ac:dyDescent="0.2">
      <c r="F659"/>
    </row>
    <row r="660" spans="6:6" x14ac:dyDescent="0.2">
      <c r="F660"/>
    </row>
    <row r="661" spans="6:6" x14ac:dyDescent="0.2">
      <c r="F661"/>
    </row>
    <row r="662" spans="6:6" x14ac:dyDescent="0.2">
      <c r="F662"/>
    </row>
    <row r="663" spans="6:6" x14ac:dyDescent="0.2">
      <c r="F663"/>
    </row>
    <row r="664" spans="6:6" x14ac:dyDescent="0.2">
      <c r="F664"/>
    </row>
    <row r="665" spans="6:6" x14ac:dyDescent="0.2">
      <c r="F665"/>
    </row>
    <row r="666" spans="6:6" x14ac:dyDescent="0.2">
      <c r="F666"/>
    </row>
    <row r="667" spans="6:6" x14ac:dyDescent="0.2">
      <c r="F667"/>
    </row>
    <row r="668" spans="6:6" x14ac:dyDescent="0.2">
      <c r="F668"/>
    </row>
    <row r="669" spans="6:6" x14ac:dyDescent="0.2">
      <c r="F669"/>
    </row>
    <row r="670" spans="6:6" x14ac:dyDescent="0.2">
      <c r="F670"/>
    </row>
    <row r="671" spans="6:6" x14ac:dyDescent="0.2">
      <c r="F671"/>
    </row>
    <row r="672" spans="6:6" x14ac:dyDescent="0.2">
      <c r="F672"/>
    </row>
    <row r="673" spans="6:6" x14ac:dyDescent="0.2">
      <c r="F673"/>
    </row>
    <row r="674" spans="6:6" x14ac:dyDescent="0.2">
      <c r="F674"/>
    </row>
    <row r="675" spans="6:6" x14ac:dyDescent="0.2">
      <c r="F675"/>
    </row>
    <row r="676" spans="6:6" x14ac:dyDescent="0.2">
      <c r="F676"/>
    </row>
    <row r="677" spans="6:6" x14ac:dyDescent="0.2">
      <c r="F677"/>
    </row>
    <row r="678" spans="6:6" x14ac:dyDescent="0.2">
      <c r="F678"/>
    </row>
    <row r="679" spans="6:6" x14ac:dyDescent="0.2">
      <c r="F679"/>
    </row>
    <row r="680" spans="6:6" x14ac:dyDescent="0.2">
      <c r="F680"/>
    </row>
    <row r="681" spans="6:6" x14ac:dyDescent="0.2">
      <c r="F681"/>
    </row>
    <row r="682" spans="6:6" x14ac:dyDescent="0.2">
      <c r="F682"/>
    </row>
    <row r="683" spans="6:6" x14ac:dyDescent="0.2">
      <c r="F683"/>
    </row>
    <row r="684" spans="6:6" x14ac:dyDescent="0.2">
      <c r="F684"/>
    </row>
    <row r="685" spans="6:6" x14ac:dyDescent="0.2">
      <c r="F685"/>
    </row>
    <row r="686" spans="6:6" x14ac:dyDescent="0.2">
      <c r="F686"/>
    </row>
    <row r="687" spans="6:6" x14ac:dyDescent="0.2">
      <c r="F687"/>
    </row>
    <row r="688" spans="6:6" x14ac:dyDescent="0.2">
      <c r="F688"/>
    </row>
    <row r="689" spans="6:6" x14ac:dyDescent="0.2">
      <c r="F689"/>
    </row>
    <row r="690" spans="6:6" x14ac:dyDescent="0.2">
      <c r="F690"/>
    </row>
    <row r="691" spans="6:6" x14ac:dyDescent="0.2">
      <c r="F691"/>
    </row>
    <row r="692" spans="6:6" x14ac:dyDescent="0.2">
      <c r="F692"/>
    </row>
    <row r="693" spans="6:6" x14ac:dyDescent="0.2">
      <c r="F693"/>
    </row>
    <row r="694" spans="6:6" x14ac:dyDescent="0.2">
      <c r="F694"/>
    </row>
    <row r="695" spans="6:6" x14ac:dyDescent="0.2">
      <c r="F695"/>
    </row>
    <row r="696" spans="6:6" x14ac:dyDescent="0.2">
      <c r="F696"/>
    </row>
    <row r="697" spans="6:6" x14ac:dyDescent="0.2">
      <c r="F697"/>
    </row>
    <row r="698" spans="6:6" x14ac:dyDescent="0.2">
      <c r="F698"/>
    </row>
    <row r="699" spans="6:6" x14ac:dyDescent="0.2">
      <c r="F699"/>
    </row>
    <row r="700" spans="6:6" x14ac:dyDescent="0.2">
      <c r="F700"/>
    </row>
    <row r="701" spans="6:6" x14ac:dyDescent="0.2">
      <c r="F701"/>
    </row>
    <row r="702" spans="6:6" x14ac:dyDescent="0.2">
      <c r="F702"/>
    </row>
    <row r="703" spans="6:6" x14ac:dyDescent="0.2">
      <c r="F703"/>
    </row>
    <row r="704" spans="6:6" x14ac:dyDescent="0.2">
      <c r="F704"/>
    </row>
    <row r="705" spans="6:6" x14ac:dyDescent="0.2">
      <c r="F705"/>
    </row>
    <row r="706" spans="6:6" x14ac:dyDescent="0.2">
      <c r="F706"/>
    </row>
    <row r="707" spans="6:6" x14ac:dyDescent="0.2">
      <c r="F707"/>
    </row>
    <row r="708" spans="6:6" x14ac:dyDescent="0.2">
      <c r="F708"/>
    </row>
    <row r="709" spans="6:6" x14ac:dyDescent="0.2">
      <c r="F709"/>
    </row>
    <row r="710" spans="6:6" x14ac:dyDescent="0.2">
      <c r="F710"/>
    </row>
    <row r="711" spans="6:6" x14ac:dyDescent="0.2">
      <c r="F711"/>
    </row>
    <row r="712" spans="6:6" x14ac:dyDescent="0.2">
      <c r="F712"/>
    </row>
    <row r="713" spans="6:6" x14ac:dyDescent="0.2">
      <c r="F713"/>
    </row>
    <row r="714" spans="6:6" x14ac:dyDescent="0.2">
      <c r="F714"/>
    </row>
    <row r="715" spans="6:6" x14ac:dyDescent="0.2">
      <c r="F715"/>
    </row>
    <row r="716" spans="6:6" x14ac:dyDescent="0.2">
      <c r="F716"/>
    </row>
    <row r="717" spans="6:6" x14ac:dyDescent="0.2">
      <c r="F717"/>
    </row>
    <row r="718" spans="6:6" x14ac:dyDescent="0.2">
      <c r="F718"/>
    </row>
    <row r="719" spans="6:6" x14ac:dyDescent="0.2">
      <c r="F719"/>
    </row>
    <row r="720" spans="6:6" x14ac:dyDescent="0.2">
      <c r="F720"/>
    </row>
    <row r="721" spans="6:6" x14ac:dyDescent="0.2">
      <c r="F721"/>
    </row>
    <row r="722" spans="6:6" x14ac:dyDescent="0.2">
      <c r="F722"/>
    </row>
    <row r="723" spans="6:6" x14ac:dyDescent="0.2">
      <c r="F723"/>
    </row>
    <row r="724" spans="6:6" x14ac:dyDescent="0.2">
      <c r="F724"/>
    </row>
    <row r="725" spans="6:6" x14ac:dyDescent="0.2">
      <c r="F725"/>
    </row>
    <row r="726" spans="6:6" x14ac:dyDescent="0.2">
      <c r="F726"/>
    </row>
    <row r="727" spans="6:6" x14ac:dyDescent="0.2">
      <c r="F727"/>
    </row>
    <row r="728" spans="6:6" x14ac:dyDescent="0.2">
      <c r="F728"/>
    </row>
    <row r="729" spans="6:6" x14ac:dyDescent="0.2">
      <c r="F729"/>
    </row>
    <row r="730" spans="6:6" x14ac:dyDescent="0.2">
      <c r="F730"/>
    </row>
    <row r="731" spans="6:6" x14ac:dyDescent="0.2">
      <c r="F731"/>
    </row>
    <row r="732" spans="6:6" x14ac:dyDescent="0.2">
      <c r="F732"/>
    </row>
    <row r="733" spans="6:6" x14ac:dyDescent="0.2">
      <c r="F733"/>
    </row>
    <row r="734" spans="6:6" x14ac:dyDescent="0.2">
      <c r="F734"/>
    </row>
    <row r="735" spans="6:6" x14ac:dyDescent="0.2">
      <c r="F735"/>
    </row>
    <row r="736" spans="6:6" x14ac:dyDescent="0.2">
      <c r="F736"/>
    </row>
    <row r="737" spans="6:6" x14ac:dyDescent="0.2">
      <c r="F737"/>
    </row>
    <row r="738" spans="6:6" x14ac:dyDescent="0.2">
      <c r="F738"/>
    </row>
    <row r="739" spans="6:6" x14ac:dyDescent="0.2">
      <c r="F739"/>
    </row>
    <row r="740" spans="6:6" x14ac:dyDescent="0.2">
      <c r="F740"/>
    </row>
    <row r="741" spans="6:6" x14ac:dyDescent="0.2">
      <c r="F741"/>
    </row>
    <row r="742" spans="6:6" x14ac:dyDescent="0.2">
      <c r="F742"/>
    </row>
    <row r="743" spans="6:6" x14ac:dyDescent="0.2">
      <c r="F743"/>
    </row>
    <row r="744" spans="6:6" x14ac:dyDescent="0.2">
      <c r="F744"/>
    </row>
    <row r="745" spans="6:6" x14ac:dyDescent="0.2">
      <c r="F745"/>
    </row>
    <row r="746" spans="6:6" x14ac:dyDescent="0.2">
      <c r="F746"/>
    </row>
    <row r="747" spans="6:6" x14ac:dyDescent="0.2">
      <c r="F747"/>
    </row>
    <row r="748" spans="6:6" x14ac:dyDescent="0.2">
      <c r="F748"/>
    </row>
    <row r="749" spans="6:6" x14ac:dyDescent="0.2">
      <c r="F749"/>
    </row>
    <row r="750" spans="6:6" x14ac:dyDescent="0.2">
      <c r="F750"/>
    </row>
    <row r="751" spans="6:6" x14ac:dyDescent="0.2">
      <c r="F751"/>
    </row>
    <row r="752" spans="6:6" x14ac:dyDescent="0.2">
      <c r="F752"/>
    </row>
    <row r="753" spans="6:6" x14ac:dyDescent="0.2">
      <c r="F753"/>
    </row>
    <row r="754" spans="6:6" x14ac:dyDescent="0.2">
      <c r="F754"/>
    </row>
    <row r="755" spans="6:6" x14ac:dyDescent="0.2">
      <c r="F755"/>
    </row>
    <row r="756" spans="6:6" x14ac:dyDescent="0.2">
      <c r="F756"/>
    </row>
    <row r="757" spans="6:6" x14ac:dyDescent="0.2">
      <c r="F757"/>
    </row>
    <row r="758" spans="6:6" x14ac:dyDescent="0.2">
      <c r="F758"/>
    </row>
    <row r="759" spans="6:6" x14ac:dyDescent="0.2">
      <c r="F759"/>
    </row>
    <row r="760" spans="6:6" x14ac:dyDescent="0.2">
      <c r="F760"/>
    </row>
    <row r="761" spans="6:6" x14ac:dyDescent="0.2">
      <c r="F761"/>
    </row>
    <row r="762" spans="6:6" x14ac:dyDescent="0.2">
      <c r="F762"/>
    </row>
    <row r="763" spans="6:6" x14ac:dyDescent="0.2">
      <c r="F763"/>
    </row>
    <row r="764" spans="6:6" x14ac:dyDescent="0.2">
      <c r="F764"/>
    </row>
    <row r="765" spans="6:6" x14ac:dyDescent="0.2">
      <c r="F765"/>
    </row>
    <row r="766" spans="6:6" x14ac:dyDescent="0.2">
      <c r="F766"/>
    </row>
    <row r="767" spans="6:6" x14ac:dyDescent="0.2">
      <c r="F767"/>
    </row>
    <row r="768" spans="6:6" x14ac:dyDescent="0.2">
      <c r="F768"/>
    </row>
    <row r="769" spans="6:6" x14ac:dyDescent="0.2">
      <c r="F769"/>
    </row>
    <row r="770" spans="6:6" x14ac:dyDescent="0.2">
      <c r="F770"/>
    </row>
    <row r="771" spans="6:6" x14ac:dyDescent="0.2">
      <c r="F771"/>
    </row>
    <row r="772" spans="6:6" x14ac:dyDescent="0.2">
      <c r="F772"/>
    </row>
    <row r="773" spans="6:6" x14ac:dyDescent="0.2">
      <c r="F773"/>
    </row>
    <row r="774" spans="6:6" x14ac:dyDescent="0.2">
      <c r="F774"/>
    </row>
    <row r="775" spans="6:6" x14ac:dyDescent="0.2">
      <c r="F775"/>
    </row>
    <row r="776" spans="6:6" x14ac:dyDescent="0.2">
      <c r="F776"/>
    </row>
    <row r="777" spans="6:6" x14ac:dyDescent="0.2">
      <c r="F777"/>
    </row>
    <row r="778" spans="6:6" x14ac:dyDescent="0.2">
      <c r="F778"/>
    </row>
    <row r="779" spans="6:6" x14ac:dyDescent="0.2">
      <c r="F779"/>
    </row>
    <row r="780" spans="6:6" x14ac:dyDescent="0.2">
      <c r="F780"/>
    </row>
    <row r="781" spans="6:6" x14ac:dyDescent="0.2">
      <c r="F781"/>
    </row>
    <row r="782" spans="6:6" x14ac:dyDescent="0.2">
      <c r="F782"/>
    </row>
    <row r="783" spans="6:6" x14ac:dyDescent="0.2">
      <c r="F783"/>
    </row>
    <row r="784" spans="6:6" x14ac:dyDescent="0.2">
      <c r="F784"/>
    </row>
    <row r="785" spans="6:6" x14ac:dyDescent="0.2">
      <c r="F785"/>
    </row>
    <row r="786" spans="6:6" x14ac:dyDescent="0.2">
      <c r="F786"/>
    </row>
    <row r="787" spans="6:6" x14ac:dyDescent="0.2">
      <c r="F787"/>
    </row>
    <row r="788" spans="6:6" x14ac:dyDescent="0.2">
      <c r="F788"/>
    </row>
    <row r="789" spans="6:6" x14ac:dyDescent="0.2">
      <c r="F789"/>
    </row>
    <row r="790" spans="6:6" x14ac:dyDescent="0.2">
      <c r="F790"/>
    </row>
    <row r="791" spans="6:6" x14ac:dyDescent="0.2">
      <c r="F791"/>
    </row>
    <row r="792" spans="6:6" x14ac:dyDescent="0.2">
      <c r="F792"/>
    </row>
    <row r="793" spans="6:6" x14ac:dyDescent="0.2">
      <c r="F793"/>
    </row>
    <row r="794" spans="6:6" x14ac:dyDescent="0.2">
      <c r="F794"/>
    </row>
    <row r="795" spans="6:6" x14ac:dyDescent="0.2">
      <c r="F795"/>
    </row>
    <row r="796" spans="6:6" x14ac:dyDescent="0.2">
      <c r="F796"/>
    </row>
    <row r="797" spans="6:6" x14ac:dyDescent="0.2">
      <c r="F797"/>
    </row>
    <row r="798" spans="6:6" x14ac:dyDescent="0.2">
      <c r="F798"/>
    </row>
    <row r="799" spans="6:6" x14ac:dyDescent="0.2">
      <c r="F799"/>
    </row>
    <row r="800" spans="6:6" x14ac:dyDescent="0.2">
      <c r="F800"/>
    </row>
    <row r="801" spans="6:6" x14ac:dyDescent="0.2">
      <c r="F801"/>
    </row>
    <row r="802" spans="6:6" x14ac:dyDescent="0.2">
      <c r="F802"/>
    </row>
    <row r="803" spans="6:6" x14ac:dyDescent="0.2">
      <c r="F803"/>
    </row>
    <row r="804" spans="6:6" x14ac:dyDescent="0.2">
      <c r="F804"/>
    </row>
    <row r="805" spans="6:6" x14ac:dyDescent="0.2">
      <c r="F805"/>
    </row>
    <row r="806" spans="6:6" x14ac:dyDescent="0.2">
      <c r="F806"/>
    </row>
    <row r="807" spans="6:6" x14ac:dyDescent="0.2">
      <c r="F807"/>
    </row>
    <row r="808" spans="6:6" x14ac:dyDescent="0.2">
      <c r="F808"/>
    </row>
    <row r="809" spans="6:6" x14ac:dyDescent="0.2">
      <c r="F809"/>
    </row>
    <row r="810" spans="6:6" x14ac:dyDescent="0.2">
      <c r="F810"/>
    </row>
    <row r="811" spans="6:6" x14ac:dyDescent="0.2">
      <c r="F811"/>
    </row>
    <row r="812" spans="6:6" x14ac:dyDescent="0.2">
      <c r="F812"/>
    </row>
    <row r="813" spans="6:6" x14ac:dyDescent="0.2">
      <c r="F813"/>
    </row>
    <row r="814" spans="6:6" x14ac:dyDescent="0.2">
      <c r="F814"/>
    </row>
    <row r="815" spans="6:6" x14ac:dyDescent="0.2">
      <c r="F815"/>
    </row>
    <row r="816" spans="6:6" x14ac:dyDescent="0.2">
      <c r="F816"/>
    </row>
    <row r="817" spans="6:6" x14ac:dyDescent="0.2">
      <c r="F817"/>
    </row>
    <row r="818" spans="6:6" x14ac:dyDescent="0.2">
      <c r="F818"/>
    </row>
    <row r="819" spans="6:6" x14ac:dyDescent="0.2">
      <c r="F819"/>
    </row>
    <row r="820" spans="6:6" x14ac:dyDescent="0.2">
      <c r="F820"/>
    </row>
    <row r="821" spans="6:6" x14ac:dyDescent="0.2">
      <c r="F821"/>
    </row>
    <row r="822" spans="6:6" x14ac:dyDescent="0.2">
      <c r="F822"/>
    </row>
    <row r="823" spans="6:6" x14ac:dyDescent="0.2">
      <c r="F823"/>
    </row>
    <row r="824" spans="6:6" x14ac:dyDescent="0.2">
      <c r="F824"/>
    </row>
    <row r="825" spans="6:6" x14ac:dyDescent="0.2">
      <c r="F825"/>
    </row>
    <row r="826" spans="6:6" x14ac:dyDescent="0.2">
      <c r="F826"/>
    </row>
    <row r="827" spans="6:6" x14ac:dyDescent="0.2">
      <c r="F827"/>
    </row>
    <row r="828" spans="6:6" x14ac:dyDescent="0.2">
      <c r="F828"/>
    </row>
    <row r="829" spans="6:6" x14ac:dyDescent="0.2">
      <c r="F829"/>
    </row>
    <row r="830" spans="6:6" x14ac:dyDescent="0.2">
      <c r="F830"/>
    </row>
    <row r="831" spans="6:6" x14ac:dyDescent="0.2">
      <c r="F831"/>
    </row>
    <row r="832" spans="6:6" x14ac:dyDescent="0.2">
      <c r="F832"/>
    </row>
    <row r="833" spans="6:6" x14ac:dyDescent="0.2">
      <c r="F833"/>
    </row>
    <row r="834" spans="6:6" x14ac:dyDescent="0.2">
      <c r="F834"/>
    </row>
    <row r="835" spans="6:6" x14ac:dyDescent="0.2">
      <c r="F835"/>
    </row>
    <row r="836" spans="6:6" x14ac:dyDescent="0.2">
      <c r="F836"/>
    </row>
    <row r="837" spans="6:6" x14ac:dyDescent="0.2">
      <c r="F837"/>
    </row>
    <row r="838" spans="6:6" x14ac:dyDescent="0.2">
      <c r="F838"/>
    </row>
    <row r="839" spans="6:6" x14ac:dyDescent="0.2">
      <c r="F839"/>
    </row>
    <row r="840" spans="6:6" x14ac:dyDescent="0.2">
      <c r="F840"/>
    </row>
    <row r="841" spans="6:6" x14ac:dyDescent="0.2">
      <c r="F841"/>
    </row>
    <row r="842" spans="6:6" x14ac:dyDescent="0.2">
      <c r="F842"/>
    </row>
    <row r="843" spans="6:6" x14ac:dyDescent="0.2">
      <c r="F843"/>
    </row>
    <row r="844" spans="6:6" x14ac:dyDescent="0.2">
      <c r="F844"/>
    </row>
    <row r="845" spans="6:6" x14ac:dyDescent="0.2">
      <c r="F845"/>
    </row>
    <row r="846" spans="6:6" x14ac:dyDescent="0.2">
      <c r="F846"/>
    </row>
    <row r="847" spans="6:6" x14ac:dyDescent="0.2">
      <c r="F847"/>
    </row>
    <row r="848" spans="6:6" x14ac:dyDescent="0.2">
      <c r="F848"/>
    </row>
    <row r="849" spans="6:6" x14ac:dyDescent="0.2">
      <c r="F849"/>
    </row>
    <row r="850" spans="6:6" x14ac:dyDescent="0.2">
      <c r="F850"/>
    </row>
    <row r="851" spans="6:6" x14ac:dyDescent="0.2">
      <c r="F851"/>
    </row>
    <row r="852" spans="6:6" x14ac:dyDescent="0.2">
      <c r="F852"/>
    </row>
    <row r="853" spans="6:6" x14ac:dyDescent="0.2">
      <c r="F853"/>
    </row>
    <row r="854" spans="6:6" x14ac:dyDescent="0.2">
      <c r="F854"/>
    </row>
    <row r="855" spans="6:6" x14ac:dyDescent="0.2">
      <c r="F855"/>
    </row>
    <row r="856" spans="6:6" x14ac:dyDescent="0.2">
      <c r="F856"/>
    </row>
    <row r="857" spans="6:6" x14ac:dyDescent="0.2">
      <c r="F857"/>
    </row>
    <row r="858" spans="6:6" x14ac:dyDescent="0.2">
      <c r="F858"/>
    </row>
    <row r="859" spans="6:6" x14ac:dyDescent="0.2">
      <c r="F859"/>
    </row>
    <row r="860" spans="6:6" x14ac:dyDescent="0.2">
      <c r="F860"/>
    </row>
    <row r="861" spans="6:6" x14ac:dyDescent="0.2">
      <c r="F861"/>
    </row>
    <row r="862" spans="6:6" x14ac:dyDescent="0.2">
      <c r="F862"/>
    </row>
    <row r="863" spans="6:6" x14ac:dyDescent="0.2">
      <c r="F863"/>
    </row>
    <row r="864" spans="6:6" x14ac:dyDescent="0.2">
      <c r="F864"/>
    </row>
    <row r="865" spans="6:6" x14ac:dyDescent="0.2">
      <c r="F865"/>
    </row>
    <row r="866" spans="6:6" x14ac:dyDescent="0.2">
      <c r="F866"/>
    </row>
    <row r="867" spans="6:6" x14ac:dyDescent="0.2">
      <c r="F867"/>
    </row>
    <row r="868" spans="6:6" x14ac:dyDescent="0.2">
      <c r="F868"/>
    </row>
    <row r="869" spans="6:6" x14ac:dyDescent="0.2">
      <c r="F869"/>
    </row>
    <row r="870" spans="6:6" x14ac:dyDescent="0.2">
      <c r="F870"/>
    </row>
    <row r="871" spans="6:6" x14ac:dyDescent="0.2">
      <c r="F871"/>
    </row>
    <row r="872" spans="6:6" x14ac:dyDescent="0.2">
      <c r="F872"/>
    </row>
    <row r="873" spans="6:6" x14ac:dyDescent="0.2">
      <c r="F873"/>
    </row>
    <row r="874" spans="6:6" x14ac:dyDescent="0.2">
      <c r="F874"/>
    </row>
    <row r="875" spans="6:6" x14ac:dyDescent="0.2">
      <c r="F875"/>
    </row>
    <row r="876" spans="6:6" x14ac:dyDescent="0.2">
      <c r="F876"/>
    </row>
    <row r="877" spans="6:6" x14ac:dyDescent="0.2">
      <c r="F877"/>
    </row>
    <row r="878" spans="6:6" x14ac:dyDescent="0.2">
      <c r="F878"/>
    </row>
    <row r="879" spans="6:6" x14ac:dyDescent="0.2">
      <c r="F879"/>
    </row>
    <row r="880" spans="6:6" x14ac:dyDescent="0.2">
      <c r="F880"/>
    </row>
    <row r="881" spans="6:6" x14ac:dyDescent="0.2">
      <c r="F881"/>
    </row>
    <row r="882" spans="6:6" x14ac:dyDescent="0.2">
      <c r="F882"/>
    </row>
    <row r="883" spans="6:6" x14ac:dyDescent="0.2">
      <c r="F883"/>
    </row>
    <row r="884" spans="6:6" x14ac:dyDescent="0.2">
      <c r="F884"/>
    </row>
    <row r="885" spans="6:6" x14ac:dyDescent="0.2">
      <c r="F885"/>
    </row>
    <row r="886" spans="6:6" x14ac:dyDescent="0.2">
      <c r="F886"/>
    </row>
    <row r="887" spans="6:6" x14ac:dyDescent="0.2">
      <c r="F887"/>
    </row>
    <row r="888" spans="6:6" x14ac:dyDescent="0.2">
      <c r="F888"/>
    </row>
    <row r="889" spans="6:6" x14ac:dyDescent="0.2">
      <c r="F889"/>
    </row>
    <row r="890" spans="6:6" x14ac:dyDescent="0.2">
      <c r="F890"/>
    </row>
    <row r="891" spans="6:6" x14ac:dyDescent="0.2">
      <c r="F891"/>
    </row>
    <row r="892" spans="6:6" x14ac:dyDescent="0.2">
      <c r="F892"/>
    </row>
    <row r="893" spans="6:6" x14ac:dyDescent="0.2">
      <c r="F893"/>
    </row>
    <row r="894" spans="6:6" x14ac:dyDescent="0.2">
      <c r="F894"/>
    </row>
    <row r="895" spans="6:6" x14ac:dyDescent="0.2">
      <c r="F895"/>
    </row>
    <row r="896" spans="6:6" x14ac:dyDescent="0.2">
      <c r="F896"/>
    </row>
    <row r="897" spans="6:6" x14ac:dyDescent="0.2">
      <c r="F897"/>
    </row>
    <row r="898" spans="6:6" x14ac:dyDescent="0.2">
      <c r="F898"/>
    </row>
    <row r="899" spans="6:6" x14ac:dyDescent="0.2">
      <c r="F899"/>
    </row>
    <row r="900" spans="6:6" x14ac:dyDescent="0.2">
      <c r="F900"/>
    </row>
    <row r="901" spans="6:6" x14ac:dyDescent="0.2">
      <c r="F901"/>
    </row>
    <row r="902" spans="6:6" x14ac:dyDescent="0.2">
      <c r="F902"/>
    </row>
    <row r="903" spans="6:6" x14ac:dyDescent="0.2">
      <c r="F903"/>
    </row>
    <row r="904" spans="6:6" x14ac:dyDescent="0.2">
      <c r="F904"/>
    </row>
    <row r="905" spans="6:6" x14ac:dyDescent="0.2">
      <c r="F905"/>
    </row>
    <row r="906" spans="6:6" x14ac:dyDescent="0.2">
      <c r="F906"/>
    </row>
    <row r="907" spans="6:6" x14ac:dyDescent="0.2">
      <c r="F907"/>
    </row>
    <row r="908" spans="6:6" x14ac:dyDescent="0.2">
      <c r="F908"/>
    </row>
    <row r="909" spans="6:6" x14ac:dyDescent="0.2">
      <c r="F909"/>
    </row>
    <row r="910" spans="6:6" x14ac:dyDescent="0.2">
      <c r="F910"/>
    </row>
    <row r="911" spans="6:6" x14ac:dyDescent="0.2">
      <c r="F911"/>
    </row>
    <row r="912" spans="6:6" x14ac:dyDescent="0.2">
      <c r="F912"/>
    </row>
    <row r="913" spans="6:6" x14ac:dyDescent="0.2">
      <c r="F913"/>
    </row>
    <row r="914" spans="6:6" x14ac:dyDescent="0.2">
      <c r="F914"/>
    </row>
    <row r="915" spans="6:6" x14ac:dyDescent="0.2">
      <c r="F915"/>
    </row>
    <row r="916" spans="6:6" x14ac:dyDescent="0.2">
      <c r="F916"/>
    </row>
    <row r="917" spans="6:6" x14ac:dyDescent="0.2">
      <c r="F917"/>
    </row>
    <row r="918" spans="6:6" x14ac:dyDescent="0.2">
      <c r="F918"/>
    </row>
    <row r="919" spans="6:6" x14ac:dyDescent="0.2">
      <c r="F919"/>
    </row>
    <row r="920" spans="6:6" x14ac:dyDescent="0.2">
      <c r="F920"/>
    </row>
    <row r="921" spans="6:6" x14ac:dyDescent="0.2">
      <c r="F921"/>
    </row>
    <row r="922" spans="6:6" x14ac:dyDescent="0.2">
      <c r="F922"/>
    </row>
    <row r="923" spans="6:6" x14ac:dyDescent="0.2">
      <c r="F923"/>
    </row>
    <row r="924" spans="6:6" x14ac:dyDescent="0.2">
      <c r="F924"/>
    </row>
    <row r="925" spans="6:6" x14ac:dyDescent="0.2">
      <c r="F925"/>
    </row>
    <row r="926" spans="6:6" x14ac:dyDescent="0.2">
      <c r="F926"/>
    </row>
    <row r="927" spans="6:6" x14ac:dyDescent="0.2">
      <c r="F927"/>
    </row>
    <row r="928" spans="6:6" x14ac:dyDescent="0.2">
      <c r="F928"/>
    </row>
    <row r="929" spans="6:6" x14ac:dyDescent="0.2">
      <c r="F929"/>
    </row>
    <row r="930" spans="6:6" x14ac:dyDescent="0.2">
      <c r="F930"/>
    </row>
    <row r="931" spans="6:6" x14ac:dyDescent="0.2">
      <c r="F931"/>
    </row>
    <row r="932" spans="6:6" x14ac:dyDescent="0.2">
      <c r="F932"/>
    </row>
    <row r="933" spans="6:6" x14ac:dyDescent="0.2">
      <c r="F933"/>
    </row>
    <row r="934" spans="6:6" x14ac:dyDescent="0.2">
      <c r="F934"/>
    </row>
    <row r="935" spans="6:6" x14ac:dyDescent="0.2">
      <c r="F935"/>
    </row>
    <row r="936" spans="6:6" x14ac:dyDescent="0.2">
      <c r="F936"/>
    </row>
    <row r="937" spans="6:6" x14ac:dyDescent="0.2">
      <c r="F937"/>
    </row>
    <row r="938" spans="6:6" x14ac:dyDescent="0.2">
      <c r="F938"/>
    </row>
    <row r="939" spans="6:6" x14ac:dyDescent="0.2">
      <c r="F939"/>
    </row>
    <row r="940" spans="6:6" x14ac:dyDescent="0.2">
      <c r="F940"/>
    </row>
    <row r="941" spans="6:6" x14ac:dyDescent="0.2">
      <c r="F941"/>
    </row>
    <row r="942" spans="6:6" x14ac:dyDescent="0.2">
      <c r="F942"/>
    </row>
    <row r="943" spans="6:6" x14ac:dyDescent="0.2">
      <c r="F943"/>
    </row>
    <row r="944" spans="6:6" x14ac:dyDescent="0.2">
      <c r="F944"/>
    </row>
    <row r="945" spans="6:6" x14ac:dyDescent="0.2">
      <c r="F945"/>
    </row>
    <row r="946" spans="6:6" x14ac:dyDescent="0.2">
      <c r="F946"/>
    </row>
    <row r="947" spans="6:6" x14ac:dyDescent="0.2">
      <c r="F947"/>
    </row>
    <row r="948" spans="6:6" x14ac:dyDescent="0.2">
      <c r="F948"/>
    </row>
    <row r="949" spans="6:6" x14ac:dyDescent="0.2">
      <c r="F949"/>
    </row>
    <row r="950" spans="6:6" x14ac:dyDescent="0.2">
      <c r="F950"/>
    </row>
    <row r="951" spans="6:6" x14ac:dyDescent="0.2">
      <c r="F951"/>
    </row>
    <row r="952" spans="6:6" x14ac:dyDescent="0.2">
      <c r="F952"/>
    </row>
    <row r="953" spans="6:6" x14ac:dyDescent="0.2">
      <c r="F953"/>
    </row>
    <row r="954" spans="6:6" x14ac:dyDescent="0.2">
      <c r="F954"/>
    </row>
    <row r="955" spans="6:6" x14ac:dyDescent="0.2">
      <c r="F955"/>
    </row>
    <row r="956" spans="6:6" x14ac:dyDescent="0.2">
      <c r="F956"/>
    </row>
    <row r="957" spans="6:6" x14ac:dyDescent="0.2">
      <c r="F957"/>
    </row>
    <row r="958" spans="6:6" x14ac:dyDescent="0.2">
      <c r="F958"/>
    </row>
    <row r="959" spans="6:6" x14ac:dyDescent="0.2">
      <c r="F959"/>
    </row>
    <row r="960" spans="6:6" x14ac:dyDescent="0.2">
      <c r="F960"/>
    </row>
    <row r="961" spans="6:6" x14ac:dyDescent="0.2">
      <c r="F961"/>
    </row>
    <row r="962" spans="6:6" x14ac:dyDescent="0.2">
      <c r="F962"/>
    </row>
    <row r="963" spans="6:6" x14ac:dyDescent="0.2">
      <c r="F963"/>
    </row>
    <row r="964" spans="6:6" x14ac:dyDescent="0.2">
      <c r="F964"/>
    </row>
    <row r="965" spans="6:6" x14ac:dyDescent="0.2">
      <c r="F965"/>
    </row>
    <row r="966" spans="6:6" x14ac:dyDescent="0.2">
      <c r="F966"/>
    </row>
    <row r="967" spans="6:6" x14ac:dyDescent="0.2">
      <c r="F967"/>
    </row>
    <row r="968" spans="6:6" x14ac:dyDescent="0.2">
      <c r="F968"/>
    </row>
    <row r="969" spans="6:6" x14ac:dyDescent="0.2">
      <c r="F969"/>
    </row>
    <row r="970" spans="6:6" x14ac:dyDescent="0.2">
      <c r="F970"/>
    </row>
    <row r="971" spans="6:6" x14ac:dyDescent="0.2">
      <c r="F971"/>
    </row>
    <row r="972" spans="6:6" x14ac:dyDescent="0.2">
      <c r="F972"/>
    </row>
    <row r="973" spans="6:6" x14ac:dyDescent="0.2">
      <c r="F973"/>
    </row>
    <row r="974" spans="6:6" x14ac:dyDescent="0.2">
      <c r="F974"/>
    </row>
    <row r="975" spans="6:6" x14ac:dyDescent="0.2">
      <c r="F975"/>
    </row>
    <row r="976" spans="6:6" x14ac:dyDescent="0.2">
      <c r="F976"/>
    </row>
    <row r="977" spans="6:6" x14ac:dyDescent="0.2">
      <c r="F977"/>
    </row>
    <row r="978" spans="6:6" x14ac:dyDescent="0.2">
      <c r="F978"/>
    </row>
    <row r="979" spans="6:6" x14ac:dyDescent="0.2">
      <c r="F979"/>
    </row>
    <row r="980" spans="6:6" x14ac:dyDescent="0.2">
      <c r="F980"/>
    </row>
    <row r="981" spans="6:6" x14ac:dyDescent="0.2">
      <c r="F981"/>
    </row>
    <row r="982" spans="6:6" x14ac:dyDescent="0.2">
      <c r="F982"/>
    </row>
    <row r="983" spans="6:6" x14ac:dyDescent="0.2">
      <c r="F983"/>
    </row>
    <row r="984" spans="6:6" x14ac:dyDescent="0.2">
      <c r="F984"/>
    </row>
    <row r="985" spans="6:6" x14ac:dyDescent="0.2">
      <c r="F985"/>
    </row>
    <row r="986" spans="6:6" x14ac:dyDescent="0.2">
      <c r="F986"/>
    </row>
    <row r="987" spans="6:6" x14ac:dyDescent="0.2">
      <c r="F987"/>
    </row>
    <row r="988" spans="6:6" x14ac:dyDescent="0.2">
      <c r="F988"/>
    </row>
    <row r="989" spans="6:6" x14ac:dyDescent="0.2">
      <c r="F989"/>
    </row>
    <row r="990" spans="6:6" x14ac:dyDescent="0.2">
      <c r="F990"/>
    </row>
    <row r="991" spans="6:6" x14ac:dyDescent="0.2">
      <c r="F991"/>
    </row>
    <row r="992" spans="6:6" x14ac:dyDescent="0.2">
      <c r="F992"/>
    </row>
    <row r="993" spans="6:6" x14ac:dyDescent="0.2">
      <c r="F993"/>
    </row>
    <row r="994" spans="6:6" x14ac:dyDescent="0.2">
      <c r="F994"/>
    </row>
    <row r="995" spans="6:6" x14ac:dyDescent="0.2">
      <c r="F995"/>
    </row>
    <row r="996" spans="6:6" x14ac:dyDescent="0.2">
      <c r="F996"/>
    </row>
    <row r="997" spans="6:6" x14ac:dyDescent="0.2">
      <c r="F997"/>
    </row>
    <row r="998" spans="6:6" x14ac:dyDescent="0.2">
      <c r="F998"/>
    </row>
    <row r="999" spans="6:6" x14ac:dyDescent="0.2">
      <c r="F999"/>
    </row>
    <row r="1000" spans="6:6" x14ac:dyDescent="0.2">
      <c r="F1000"/>
    </row>
    <row r="1001" spans="6:6" x14ac:dyDescent="0.2">
      <c r="F1001"/>
    </row>
    <row r="1002" spans="6:6" x14ac:dyDescent="0.2">
      <c r="F1002"/>
    </row>
    <row r="1003" spans="6:6" x14ac:dyDescent="0.2">
      <c r="F1003"/>
    </row>
    <row r="1004" spans="6:6" x14ac:dyDescent="0.2">
      <c r="F1004"/>
    </row>
    <row r="1005" spans="6:6" x14ac:dyDescent="0.2">
      <c r="F1005"/>
    </row>
    <row r="1006" spans="6:6" x14ac:dyDescent="0.2">
      <c r="F1006"/>
    </row>
    <row r="1007" spans="6:6" x14ac:dyDescent="0.2">
      <c r="F1007"/>
    </row>
    <row r="1008" spans="6:6" x14ac:dyDescent="0.2">
      <c r="F1008"/>
    </row>
    <row r="1009" spans="6:6" x14ac:dyDescent="0.2">
      <c r="F1009"/>
    </row>
    <row r="1010" spans="6:6" x14ac:dyDescent="0.2">
      <c r="F1010"/>
    </row>
    <row r="1011" spans="6:6" x14ac:dyDescent="0.2">
      <c r="F1011"/>
    </row>
    <row r="1012" spans="6:6" x14ac:dyDescent="0.2">
      <c r="F1012"/>
    </row>
    <row r="1013" spans="6:6" x14ac:dyDescent="0.2">
      <c r="F1013"/>
    </row>
    <row r="1014" spans="6:6" x14ac:dyDescent="0.2">
      <c r="F1014"/>
    </row>
    <row r="1015" spans="6:6" x14ac:dyDescent="0.2">
      <c r="F1015"/>
    </row>
    <row r="1016" spans="6:6" x14ac:dyDescent="0.2">
      <c r="F1016"/>
    </row>
    <row r="1017" spans="6:6" x14ac:dyDescent="0.2">
      <c r="F1017"/>
    </row>
    <row r="1018" spans="6:6" x14ac:dyDescent="0.2">
      <c r="F1018"/>
    </row>
    <row r="1019" spans="6:6" x14ac:dyDescent="0.2">
      <c r="F1019"/>
    </row>
    <row r="1020" spans="6:6" x14ac:dyDescent="0.2">
      <c r="F1020"/>
    </row>
    <row r="1021" spans="6:6" x14ac:dyDescent="0.2">
      <c r="F1021"/>
    </row>
    <row r="1022" spans="6:6" x14ac:dyDescent="0.2">
      <c r="F1022"/>
    </row>
    <row r="1023" spans="6:6" x14ac:dyDescent="0.2">
      <c r="F1023"/>
    </row>
    <row r="1024" spans="6:6" x14ac:dyDescent="0.2">
      <c r="F1024"/>
    </row>
    <row r="1025" spans="6:6" x14ac:dyDescent="0.2">
      <c r="F1025"/>
    </row>
    <row r="1026" spans="6:6" x14ac:dyDescent="0.2">
      <c r="F1026"/>
    </row>
    <row r="1027" spans="6:6" x14ac:dyDescent="0.2">
      <c r="F1027"/>
    </row>
    <row r="1028" spans="6:6" x14ac:dyDescent="0.2">
      <c r="F1028"/>
    </row>
    <row r="1029" spans="6:6" x14ac:dyDescent="0.2">
      <c r="F1029"/>
    </row>
    <row r="1030" spans="6:6" x14ac:dyDescent="0.2">
      <c r="F1030"/>
    </row>
    <row r="1031" spans="6:6" x14ac:dyDescent="0.2">
      <c r="F1031"/>
    </row>
    <row r="1032" spans="6:6" x14ac:dyDescent="0.2">
      <c r="F1032"/>
    </row>
    <row r="1033" spans="6:6" x14ac:dyDescent="0.2">
      <c r="F1033"/>
    </row>
    <row r="1034" spans="6:6" x14ac:dyDescent="0.2">
      <c r="F1034"/>
    </row>
    <row r="1035" spans="6:6" x14ac:dyDescent="0.2">
      <c r="F1035"/>
    </row>
    <row r="1036" spans="6:6" x14ac:dyDescent="0.2">
      <c r="F1036"/>
    </row>
    <row r="1037" spans="6:6" x14ac:dyDescent="0.2">
      <c r="F1037"/>
    </row>
    <row r="1038" spans="6:6" x14ac:dyDescent="0.2">
      <c r="F10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91C38-0A73-574A-977D-52940367C0D6}">
  <dimension ref="A1:AF31"/>
  <sheetViews>
    <sheetView workbookViewId="0"/>
  </sheetViews>
  <sheetFormatPr baseColWidth="10" defaultColWidth="11" defaultRowHeight="16" x14ac:dyDescent="0.2"/>
  <sheetData>
    <row r="1" spans="1:32" x14ac:dyDescent="0.2">
      <c r="A1" t="s">
        <v>31</v>
      </c>
      <c r="B1" t="s">
        <v>29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30</v>
      </c>
    </row>
    <row r="2" spans="1:32" x14ac:dyDescent="0.2">
      <c r="A2" t="s">
        <v>32</v>
      </c>
      <c r="B2">
        <v>0.26392554521461298</v>
      </c>
      <c r="C2">
        <v>2.7781636338380301E-2</v>
      </c>
      <c r="D2">
        <v>0</v>
      </c>
      <c r="E2">
        <v>0.15279899986109199</v>
      </c>
      <c r="F2">
        <v>6.9454090845950806E-2</v>
      </c>
      <c r="G2">
        <v>1.3890818169190199E-2</v>
      </c>
      <c r="H2">
        <v>1.3890818169190199E-2</v>
      </c>
      <c r="I2">
        <v>5.55632726767607E-2</v>
      </c>
      <c r="J2">
        <v>0.625086817613557</v>
      </c>
      <c r="K2">
        <v>0.68065009029031798</v>
      </c>
      <c r="L2">
        <v>0.19447145436866201</v>
      </c>
      <c r="M2">
        <v>0</v>
      </c>
      <c r="N2">
        <v>2.7781636338380301E-2</v>
      </c>
      <c r="O2">
        <v>0.12501736352271101</v>
      </c>
      <c r="P2">
        <v>1.3890818169190199E-2</v>
      </c>
      <c r="Q2">
        <v>0</v>
      </c>
      <c r="R2">
        <v>0.15279899986109199</v>
      </c>
      <c r="S2">
        <v>0</v>
      </c>
      <c r="T2">
        <v>0.416724545075705</v>
      </c>
      <c r="U2">
        <v>5.55632726767607E-2</v>
      </c>
      <c r="V2">
        <v>0</v>
      </c>
      <c r="W2">
        <v>2.7781636338380301E-2</v>
      </c>
      <c r="X2">
        <v>0</v>
      </c>
      <c r="Y2">
        <v>0.25003472704542301</v>
      </c>
      <c r="Z2">
        <v>1.3890818169190199E-2</v>
      </c>
      <c r="AA2">
        <v>2.7781636338380301E-2</v>
      </c>
      <c r="AB2">
        <v>0</v>
      </c>
      <c r="AC2">
        <v>6.9454090845950806E-2</v>
      </c>
      <c r="AD2">
        <v>0</v>
      </c>
      <c r="AE2">
        <v>0</v>
      </c>
      <c r="AF2">
        <f t="shared" ref="AF2:AF31" si="0">SUM(C2:AE2)</f>
        <v>3.0143075427142643</v>
      </c>
    </row>
    <row r="3" spans="1:32" x14ac:dyDescent="0.2">
      <c r="A3" t="s">
        <v>33</v>
      </c>
      <c r="B3">
        <v>9.8967588114892396E-2</v>
      </c>
      <c r="C3">
        <v>0.36887919206459902</v>
      </c>
      <c r="D3">
        <v>4.7234530691198602E-2</v>
      </c>
      <c r="E3">
        <v>2.2492633662475501E-3</v>
      </c>
      <c r="F3">
        <v>3.8237477226208398E-2</v>
      </c>
      <c r="G3">
        <v>5.39823207899413E-2</v>
      </c>
      <c r="H3">
        <v>9.6718324748644793E-2</v>
      </c>
      <c r="I3">
        <v>2.6991160394970602E-2</v>
      </c>
      <c r="J3">
        <v>0.25416676038597402</v>
      </c>
      <c r="K3">
        <v>0.35988213859960899</v>
      </c>
      <c r="L3">
        <v>0.17319327920106201</v>
      </c>
      <c r="M3">
        <v>2.4741897028723099E-2</v>
      </c>
      <c r="N3">
        <v>4.4985267324951103E-2</v>
      </c>
      <c r="O3">
        <v>0.150700645538586</v>
      </c>
      <c r="P3">
        <v>4.0486740592456001E-2</v>
      </c>
      <c r="Q3">
        <v>4.4985267324951103E-2</v>
      </c>
      <c r="R3">
        <v>0.18893812276479499</v>
      </c>
      <c r="S3">
        <v>7.4225691086169304E-2</v>
      </c>
      <c r="T3">
        <v>0.20693222969477501</v>
      </c>
      <c r="U3">
        <v>2.0243370296228001E-2</v>
      </c>
      <c r="V3">
        <v>2.9240423761218201E-2</v>
      </c>
      <c r="W3">
        <v>6.7477900987426599E-3</v>
      </c>
      <c r="X3">
        <v>4.27360039587035E-2</v>
      </c>
      <c r="Y3">
        <v>0.36662992869835098</v>
      </c>
      <c r="Z3">
        <v>3.3738950493713303E-2</v>
      </c>
      <c r="AA3">
        <v>2.6991160394970602E-2</v>
      </c>
      <c r="AB3">
        <v>5.8480847522436402E-2</v>
      </c>
      <c r="AC3">
        <v>2.9240423761218201E-2</v>
      </c>
      <c r="AD3">
        <v>4.0486740592456001E-2</v>
      </c>
      <c r="AE3">
        <v>3.3738950493713303E-2</v>
      </c>
      <c r="AF3">
        <f t="shared" si="0"/>
        <v>2.8858048988956129</v>
      </c>
    </row>
    <row r="4" spans="1:32" x14ac:dyDescent="0.2">
      <c r="A4" t="s">
        <v>34</v>
      </c>
      <c r="B4">
        <v>0.149991176989589</v>
      </c>
      <c r="C4">
        <v>0.30880536439033002</v>
      </c>
      <c r="D4">
        <v>7.0584083289218294E-2</v>
      </c>
      <c r="E4">
        <v>0.141168166578437</v>
      </c>
      <c r="F4">
        <v>3.5292041644609098E-2</v>
      </c>
      <c r="G4">
        <v>5.2938062466913703E-2</v>
      </c>
      <c r="H4">
        <v>2.64690312334569E-2</v>
      </c>
      <c r="I4">
        <v>8.8230104111522902E-3</v>
      </c>
      <c r="J4">
        <v>0.21175224986765501</v>
      </c>
      <c r="K4">
        <v>0.141168166578437</v>
      </c>
      <c r="L4">
        <v>4.3762131639315296</v>
      </c>
      <c r="M4">
        <v>0.13234515616728401</v>
      </c>
      <c r="N4">
        <v>1.7646020822304601E-2</v>
      </c>
      <c r="O4">
        <v>6.1761072878066002E-2</v>
      </c>
      <c r="P4">
        <v>0</v>
      </c>
      <c r="Q4">
        <v>8.8230104111522902E-3</v>
      </c>
      <c r="R4">
        <v>3.5292041644609098E-2</v>
      </c>
      <c r="S4">
        <v>1.7646020822304601E-2</v>
      </c>
      <c r="T4">
        <v>0.185283218634198</v>
      </c>
      <c r="U4">
        <v>0</v>
      </c>
      <c r="V4">
        <v>8.8230104111522902E-3</v>
      </c>
      <c r="W4">
        <v>8.8230104111522902E-3</v>
      </c>
      <c r="X4">
        <v>2.64690312334569E-2</v>
      </c>
      <c r="Y4">
        <v>0.123522145756132</v>
      </c>
      <c r="Z4">
        <v>8.8230104111522902E-3</v>
      </c>
      <c r="AA4">
        <v>2.64690312334569E-2</v>
      </c>
      <c r="AB4">
        <v>1.7646020822304601E-2</v>
      </c>
      <c r="AC4">
        <v>0</v>
      </c>
      <c r="AD4">
        <v>8.8230104111522902E-3</v>
      </c>
      <c r="AE4">
        <v>6.1761072878066002E-2</v>
      </c>
      <c r="AF4">
        <f t="shared" si="0"/>
        <v>6.1231692253396846</v>
      </c>
    </row>
    <row r="5" spans="1:32" x14ac:dyDescent="0.2">
      <c r="A5" t="s">
        <v>35</v>
      </c>
      <c r="B5">
        <v>5.67536889897843E-2</v>
      </c>
      <c r="C5">
        <v>0.113507377979569</v>
      </c>
      <c r="D5">
        <v>0</v>
      </c>
      <c r="E5">
        <v>0</v>
      </c>
      <c r="F5">
        <v>5.67536889897843E-2</v>
      </c>
      <c r="G5">
        <v>0</v>
      </c>
      <c r="H5">
        <v>0</v>
      </c>
      <c r="I5">
        <v>5.67536889897843E-2</v>
      </c>
      <c r="J5">
        <v>0</v>
      </c>
      <c r="K5">
        <v>0.56753688989784301</v>
      </c>
      <c r="L5">
        <v>0.34052213393870601</v>
      </c>
      <c r="M5">
        <v>5.67536889897843E-2</v>
      </c>
      <c r="N5">
        <v>0</v>
      </c>
      <c r="O5">
        <v>0.141884222474461</v>
      </c>
      <c r="P5">
        <v>0</v>
      </c>
      <c r="Q5">
        <v>2.8376844494892198E-2</v>
      </c>
      <c r="R5">
        <v>0.28376844494892201</v>
      </c>
      <c r="S5">
        <v>0</v>
      </c>
      <c r="T5">
        <v>8.5130533484676502E-2</v>
      </c>
      <c r="U5">
        <v>0</v>
      </c>
      <c r="V5">
        <v>0</v>
      </c>
      <c r="W5">
        <v>0</v>
      </c>
      <c r="X5">
        <v>0</v>
      </c>
      <c r="Y5">
        <v>0.198637911464245</v>
      </c>
      <c r="Z5">
        <v>2.8376844494892198E-2</v>
      </c>
      <c r="AA5">
        <v>0</v>
      </c>
      <c r="AB5">
        <v>5.67536889897843E-2</v>
      </c>
      <c r="AC5">
        <v>0</v>
      </c>
      <c r="AD5">
        <v>0</v>
      </c>
      <c r="AE5">
        <v>0</v>
      </c>
      <c r="AF5">
        <f t="shared" si="0"/>
        <v>2.0147559591373438</v>
      </c>
    </row>
    <row r="6" spans="1:32" x14ac:dyDescent="0.2">
      <c r="A6" t="s">
        <v>36</v>
      </c>
      <c r="B6">
        <v>0.15584415584415601</v>
      </c>
      <c r="C6">
        <v>0.22510822510822501</v>
      </c>
      <c r="D6">
        <v>0.46753246753246802</v>
      </c>
      <c r="E6">
        <v>0.31168831168831201</v>
      </c>
      <c r="F6">
        <v>1.7316017316017299E-2</v>
      </c>
      <c r="G6">
        <v>1.7316017316017299E-2</v>
      </c>
      <c r="H6">
        <v>0</v>
      </c>
      <c r="I6">
        <v>6.9264069264069306E-2</v>
      </c>
      <c r="J6">
        <v>0.57142857142857095</v>
      </c>
      <c r="K6">
        <v>0.67532467532467499</v>
      </c>
      <c r="L6">
        <v>0.31168831168831201</v>
      </c>
      <c r="M6">
        <v>3.4632034632034597E-2</v>
      </c>
      <c r="N6">
        <v>0</v>
      </c>
      <c r="O6">
        <v>6.9264069264069306E-2</v>
      </c>
      <c r="P6">
        <v>0</v>
      </c>
      <c r="Q6">
        <v>3.4632034632034597E-2</v>
      </c>
      <c r="R6">
        <v>0.22510822510822501</v>
      </c>
      <c r="S6">
        <v>3.4632034632034597E-2</v>
      </c>
      <c r="T6">
        <v>0.22510822510822501</v>
      </c>
      <c r="U6">
        <v>1.7316017316017299E-2</v>
      </c>
      <c r="V6">
        <v>0</v>
      </c>
      <c r="W6">
        <v>3.4632034632034597E-2</v>
      </c>
      <c r="X6">
        <v>0</v>
      </c>
      <c r="Y6">
        <v>0.29437229437229401</v>
      </c>
      <c r="Z6">
        <v>3.4632034632034597E-2</v>
      </c>
      <c r="AA6">
        <v>3.4632034632034597E-2</v>
      </c>
      <c r="AB6">
        <v>0</v>
      </c>
      <c r="AC6">
        <v>6.9264069264069306E-2</v>
      </c>
      <c r="AD6">
        <v>6.9264069264069306E-2</v>
      </c>
      <c r="AE6">
        <v>0.103896103896104</v>
      </c>
      <c r="AF6">
        <f t="shared" si="0"/>
        <v>3.9480519480519485</v>
      </c>
    </row>
    <row r="7" spans="1:32" x14ac:dyDescent="0.2">
      <c r="A7" t="s">
        <v>37</v>
      </c>
      <c r="B7">
        <v>0.13712291199202201</v>
      </c>
      <c r="C7">
        <v>3.7397157816005999E-2</v>
      </c>
      <c r="D7">
        <v>0</v>
      </c>
      <c r="E7">
        <v>0</v>
      </c>
      <c r="F7">
        <v>2.4931438544003998E-2</v>
      </c>
      <c r="G7">
        <v>0</v>
      </c>
      <c r="H7">
        <v>0</v>
      </c>
      <c r="I7">
        <v>9.9725754176015993E-2</v>
      </c>
      <c r="J7">
        <v>0.224382946896036</v>
      </c>
      <c r="K7">
        <v>0.224382946896036</v>
      </c>
      <c r="L7">
        <v>9.9725754176015993E-2</v>
      </c>
      <c r="M7">
        <v>1.2465719272001999E-2</v>
      </c>
      <c r="N7">
        <v>1.2465719272001999E-2</v>
      </c>
      <c r="O7">
        <v>4.9862877088007997E-2</v>
      </c>
      <c r="P7">
        <v>2.4931438544003998E-2</v>
      </c>
      <c r="Q7">
        <v>2.4931438544003998E-2</v>
      </c>
      <c r="R7">
        <v>0</v>
      </c>
      <c r="S7">
        <v>3.7397157816005999E-2</v>
      </c>
      <c r="T7">
        <v>9.9725754176015993E-2</v>
      </c>
      <c r="U7">
        <v>2.4931438544003998E-2</v>
      </c>
      <c r="V7">
        <v>3.7397157816005999E-2</v>
      </c>
      <c r="W7">
        <v>0</v>
      </c>
      <c r="X7">
        <v>3.7397157816005999E-2</v>
      </c>
      <c r="Y7">
        <v>0.18698578908003</v>
      </c>
      <c r="Z7">
        <v>2.4931438544003998E-2</v>
      </c>
      <c r="AA7">
        <v>0</v>
      </c>
      <c r="AB7">
        <v>1.2465719272001999E-2</v>
      </c>
      <c r="AC7">
        <v>2.4931438544003998E-2</v>
      </c>
      <c r="AD7">
        <v>0</v>
      </c>
      <c r="AE7">
        <v>7.4794315632011998E-2</v>
      </c>
      <c r="AF7">
        <f t="shared" si="0"/>
        <v>1.3961605584642243</v>
      </c>
    </row>
    <row r="8" spans="1:32" x14ac:dyDescent="0.2">
      <c r="A8" t="s">
        <v>38</v>
      </c>
      <c r="B8">
        <v>9.1383110251034794E-2</v>
      </c>
      <c r="C8">
        <v>0.241896468311563</v>
      </c>
      <c r="D8">
        <v>0.215019082943611</v>
      </c>
      <c r="E8">
        <v>0.41928721174004202</v>
      </c>
      <c r="F8">
        <v>7.5256679030263895E-2</v>
      </c>
      <c r="G8">
        <v>0.102134064398215</v>
      </c>
      <c r="H8">
        <v>5.3754770735902797E-2</v>
      </c>
      <c r="I8">
        <v>1.0750954147180599E-2</v>
      </c>
      <c r="J8">
        <v>0.17739074342847899</v>
      </c>
      <c r="K8">
        <v>0.241896468311563</v>
      </c>
      <c r="L8">
        <v>0.145137880986938</v>
      </c>
      <c r="M8">
        <v>4.83792936623125E-2</v>
      </c>
      <c r="N8">
        <v>2.1501908294361102E-2</v>
      </c>
      <c r="O8">
        <v>0.134386926839757</v>
      </c>
      <c r="P8">
        <v>3.7628339515132003E-2</v>
      </c>
      <c r="Q8">
        <v>5.3754770735902797E-3</v>
      </c>
      <c r="R8">
        <v>0.11826049561898599</v>
      </c>
      <c r="S8">
        <v>1.0750954147180599E-2</v>
      </c>
      <c r="T8">
        <v>0.12363597269257599</v>
      </c>
      <c r="U8">
        <v>2.1501908294361102E-2</v>
      </c>
      <c r="V8">
        <v>1.6126431220770801E-2</v>
      </c>
      <c r="W8">
        <v>2.1501908294361102E-2</v>
      </c>
      <c r="X8">
        <v>6.4505724883083398E-2</v>
      </c>
      <c r="Y8">
        <v>0.134386926839757</v>
      </c>
      <c r="Z8">
        <v>1.0750954147180599E-2</v>
      </c>
      <c r="AA8">
        <v>1.6126431220770801E-2</v>
      </c>
      <c r="AB8">
        <v>2.1501908294361102E-2</v>
      </c>
      <c r="AC8">
        <v>5.9130247809493101E-2</v>
      </c>
      <c r="AD8">
        <v>1.0750954147180599E-2</v>
      </c>
      <c r="AE8">
        <v>2.6877385367951399E-2</v>
      </c>
      <c r="AF8">
        <f t="shared" si="0"/>
        <v>2.5856044723969256</v>
      </c>
    </row>
    <row r="9" spans="1:32" x14ac:dyDescent="0.2">
      <c r="A9" t="s">
        <v>39</v>
      </c>
      <c r="B9">
        <v>6.1969387122761399E-3</v>
      </c>
      <c r="C9">
        <v>0.105347958108694</v>
      </c>
      <c r="D9">
        <v>9.2954080684141994E-3</v>
      </c>
      <c r="E9">
        <v>4.6477040342071001E-2</v>
      </c>
      <c r="F9">
        <v>4.0280101629794902E-2</v>
      </c>
      <c r="G9">
        <v>3.09846935613807E-3</v>
      </c>
      <c r="H9">
        <v>0</v>
      </c>
      <c r="I9">
        <v>8.9855611328004001E-2</v>
      </c>
      <c r="J9">
        <v>0.48645968891367702</v>
      </c>
      <c r="K9">
        <v>0.61659540187147599</v>
      </c>
      <c r="L9">
        <v>0.25407448720332199</v>
      </c>
      <c r="M9">
        <v>3.40831629175187E-2</v>
      </c>
      <c r="N9">
        <v>3.7181632273656798E-2</v>
      </c>
      <c r="O9">
        <v>0.337733159819049</v>
      </c>
      <c r="P9">
        <v>5.5772448410485197E-2</v>
      </c>
      <c r="Q9">
        <v>5.2673979054347203E-2</v>
      </c>
      <c r="R9">
        <v>0.45857346470843402</v>
      </c>
      <c r="S9">
        <v>7.1264795191175595E-2</v>
      </c>
      <c r="T9">
        <v>0.58251223895395698</v>
      </c>
      <c r="U9">
        <v>7.1264795191175595E-2</v>
      </c>
      <c r="V9">
        <v>3.7181632273656798E-2</v>
      </c>
      <c r="W9">
        <v>0.12393877424552301</v>
      </c>
      <c r="X9">
        <v>0.173514283943732</v>
      </c>
      <c r="Y9">
        <v>0.74673111482927401</v>
      </c>
      <c r="Z9">
        <v>6.8166325835037497E-2</v>
      </c>
      <c r="AA9">
        <v>2.7886224205242598E-2</v>
      </c>
      <c r="AB9">
        <v>5.8870917766623301E-2</v>
      </c>
      <c r="AC9">
        <v>4.9575509698209098E-2</v>
      </c>
      <c r="AD9">
        <v>6.50678564788994E-2</v>
      </c>
      <c r="AE9">
        <v>7.4363264547313596E-2</v>
      </c>
      <c r="AF9">
        <f t="shared" si="0"/>
        <v>4.7778397471649026</v>
      </c>
    </row>
    <row r="10" spans="1:32" x14ac:dyDescent="0.2">
      <c r="A10" t="s">
        <v>40</v>
      </c>
      <c r="B10">
        <v>0.146255850234009</v>
      </c>
      <c r="C10">
        <v>7.8003120124804995E-2</v>
      </c>
      <c r="D10">
        <v>9.7503900156006199E-2</v>
      </c>
      <c r="E10">
        <v>0.146255850234009</v>
      </c>
      <c r="F10">
        <v>3.9001560062402497E-2</v>
      </c>
      <c r="G10">
        <v>8.7753510140405597E-2</v>
      </c>
      <c r="H10">
        <v>0</v>
      </c>
      <c r="I10">
        <v>0</v>
      </c>
      <c r="J10">
        <v>0.25351014040561598</v>
      </c>
      <c r="K10">
        <v>0.28276131045241798</v>
      </c>
      <c r="L10">
        <v>0.175507020280811</v>
      </c>
      <c r="M10">
        <v>9.7503900156006192E-3</v>
      </c>
      <c r="N10">
        <v>0</v>
      </c>
      <c r="O10">
        <v>0.15600624024960999</v>
      </c>
      <c r="P10">
        <v>0</v>
      </c>
      <c r="Q10">
        <v>9.7503900156006192E-3</v>
      </c>
      <c r="R10">
        <v>0.12675507020280799</v>
      </c>
      <c r="S10">
        <v>2.9251170046801899E-2</v>
      </c>
      <c r="T10">
        <v>0.12675507020280799</v>
      </c>
      <c r="U10">
        <v>1.95007800312012E-2</v>
      </c>
      <c r="V10">
        <v>9.7503900156006192E-3</v>
      </c>
      <c r="W10">
        <v>0</v>
      </c>
      <c r="X10">
        <v>2.9251170046801899E-2</v>
      </c>
      <c r="Y10">
        <v>0.321762870514821</v>
      </c>
      <c r="Z10">
        <v>2.9251170046801899E-2</v>
      </c>
      <c r="AA10">
        <v>6.8252730109204393E-2</v>
      </c>
      <c r="AB10">
        <v>6.8252730109204393E-2</v>
      </c>
      <c r="AC10">
        <v>5.8502340093603701E-2</v>
      </c>
      <c r="AD10">
        <v>9.7503900156006192E-3</v>
      </c>
      <c r="AE10">
        <v>9.7503900156006192E-3</v>
      </c>
      <c r="AF10">
        <f t="shared" si="0"/>
        <v>2.242589703588143</v>
      </c>
    </row>
    <row r="11" spans="1:32" x14ac:dyDescent="0.2">
      <c r="A11" t="s">
        <v>41</v>
      </c>
      <c r="B11">
        <v>0.34966301905935199</v>
      </c>
      <c r="C11">
        <v>0.103268352779187</v>
      </c>
      <c r="D11">
        <v>0</v>
      </c>
      <c r="E11">
        <v>0.11232698021595799</v>
      </c>
      <c r="F11">
        <v>0.11232698021595799</v>
      </c>
      <c r="G11">
        <v>3.6234509747083102E-2</v>
      </c>
      <c r="H11">
        <v>0</v>
      </c>
      <c r="I11">
        <v>6.5222117544749603E-2</v>
      </c>
      <c r="J11">
        <v>0.33335748967316498</v>
      </c>
      <c r="K11">
        <v>0.52721211682005897</v>
      </c>
      <c r="L11">
        <v>0.16667874483658199</v>
      </c>
      <c r="M11">
        <v>3.9857960721791402E-2</v>
      </c>
      <c r="N11">
        <v>4.1669686209145601E-2</v>
      </c>
      <c r="O11">
        <v>0.11232698021595799</v>
      </c>
      <c r="P11">
        <v>3.2611058772374801E-2</v>
      </c>
      <c r="Q11">
        <v>1.4493803898833301E-2</v>
      </c>
      <c r="R11">
        <v>0.172113921298645</v>
      </c>
      <c r="S11">
        <v>2.3552431335604002E-2</v>
      </c>
      <c r="T11">
        <v>0.16486701934922801</v>
      </c>
      <c r="U11">
        <v>4.5293137183853902E-2</v>
      </c>
      <c r="V11">
        <v>1.08703529241249E-2</v>
      </c>
      <c r="W11">
        <v>1.6305529386187401E-2</v>
      </c>
      <c r="X11">
        <v>0.14131458801362401</v>
      </c>
      <c r="Y11">
        <v>0.41669686209145601</v>
      </c>
      <c r="Z11">
        <v>2.17407058482499E-2</v>
      </c>
      <c r="AA11">
        <v>3.62345097470831E-3</v>
      </c>
      <c r="AB11">
        <v>4.71048626712081E-2</v>
      </c>
      <c r="AC11">
        <v>1.9928980360895701E-2</v>
      </c>
      <c r="AD11">
        <v>5.7975215595333002E-2</v>
      </c>
      <c r="AE11">
        <v>4.8916588158562202E-2</v>
      </c>
      <c r="AF11">
        <f t="shared" si="0"/>
        <v>2.8878904268425254</v>
      </c>
    </row>
    <row r="12" spans="1:32" x14ac:dyDescent="0.2">
      <c r="A12" t="s">
        <v>42</v>
      </c>
      <c r="B12">
        <v>6.8564305007271995E-2</v>
      </c>
      <c r="C12">
        <v>0.15063370039476401</v>
      </c>
      <c r="D12">
        <v>0.13297319758986101</v>
      </c>
      <c r="E12">
        <v>2.59713276542697E-2</v>
      </c>
      <c r="F12">
        <v>0.13193434448369001</v>
      </c>
      <c r="G12">
        <v>9.8691045086224796E-2</v>
      </c>
      <c r="H12">
        <v>5.8175773945564099E-2</v>
      </c>
      <c r="I12">
        <v>1.03885310617079E-3</v>
      </c>
      <c r="J12">
        <v>0.176605028049034</v>
      </c>
      <c r="K12">
        <v>0.24828589237481799</v>
      </c>
      <c r="L12">
        <v>0.109079576147933</v>
      </c>
      <c r="M12">
        <v>1.9738209017245E-2</v>
      </c>
      <c r="N12">
        <v>3.4282152503635997E-2</v>
      </c>
      <c r="O12">
        <v>9.3496779555370904E-2</v>
      </c>
      <c r="P12">
        <v>9.3496779555370894E-3</v>
      </c>
      <c r="Q12">
        <v>7.2719717431955098E-3</v>
      </c>
      <c r="R12">
        <v>2.3893621441928099E-2</v>
      </c>
      <c r="S12">
        <v>2.59713276542697E-2</v>
      </c>
      <c r="T12">
        <v>0.15063370039476401</v>
      </c>
      <c r="U12">
        <v>3.1165593185123598E-3</v>
      </c>
      <c r="V12">
        <v>2.59713276542697E-2</v>
      </c>
      <c r="W12">
        <v>3.0126740078952802E-2</v>
      </c>
      <c r="X12">
        <v>5.4020361520881001E-2</v>
      </c>
      <c r="Y12">
        <v>0.28256804487845399</v>
      </c>
      <c r="Z12">
        <v>2.07770621234157E-2</v>
      </c>
      <c r="AA12">
        <v>5.5059214627051697E-2</v>
      </c>
      <c r="AB12">
        <v>3.9476418034489903E-2</v>
      </c>
      <c r="AC12">
        <v>2.59713276542697E-2</v>
      </c>
      <c r="AD12">
        <v>2.07770621234157E-2</v>
      </c>
      <c r="AE12">
        <v>2.9087886972782001E-2</v>
      </c>
      <c r="AF12">
        <f t="shared" si="0"/>
        <v>2.0849781840847701</v>
      </c>
    </row>
    <row r="13" spans="1:32" x14ac:dyDescent="0.2">
      <c r="A13" t="s">
        <v>43</v>
      </c>
      <c r="B13">
        <v>0.16206360996691199</v>
      </c>
      <c r="C13">
        <v>0.12154770747518399</v>
      </c>
      <c r="D13">
        <v>2.0257951245863999E-2</v>
      </c>
      <c r="E13">
        <v>3.3763252076440001E-2</v>
      </c>
      <c r="F13">
        <v>4.0515902491727998E-2</v>
      </c>
      <c r="G13">
        <v>0</v>
      </c>
      <c r="H13">
        <v>0</v>
      </c>
      <c r="I13">
        <v>6.752650415288E-3</v>
      </c>
      <c r="J13">
        <v>0</v>
      </c>
      <c r="K13">
        <v>8.1031804983455996E-2</v>
      </c>
      <c r="L13">
        <v>3.3763252076440001E-2</v>
      </c>
      <c r="M13">
        <v>6.752650415288E-3</v>
      </c>
      <c r="N13">
        <v>6.752650415288E-3</v>
      </c>
      <c r="O13">
        <v>4.0515902491727998E-2</v>
      </c>
      <c r="P13">
        <v>6.752650415288E-3</v>
      </c>
      <c r="Q13">
        <v>2.0257951245863999E-2</v>
      </c>
      <c r="R13">
        <v>0</v>
      </c>
      <c r="S13">
        <v>0</v>
      </c>
      <c r="T13">
        <v>1.3505300830576E-2</v>
      </c>
      <c r="U13">
        <v>0</v>
      </c>
      <c r="V13">
        <v>0</v>
      </c>
      <c r="W13">
        <v>0</v>
      </c>
      <c r="X13">
        <v>0</v>
      </c>
      <c r="Y13">
        <v>1.3505300830576E-2</v>
      </c>
      <c r="Z13">
        <v>6.752650415288E-3</v>
      </c>
      <c r="AA13">
        <v>0</v>
      </c>
      <c r="AB13">
        <v>0</v>
      </c>
      <c r="AC13">
        <v>0</v>
      </c>
      <c r="AD13">
        <v>0</v>
      </c>
      <c r="AE13">
        <v>0</v>
      </c>
      <c r="AF13">
        <f t="shared" si="0"/>
        <v>0.45242757782429588</v>
      </c>
    </row>
    <row r="14" spans="1:32" x14ac:dyDescent="0.2">
      <c r="A14" t="s">
        <v>44</v>
      </c>
      <c r="B14">
        <v>9.7363690832833999E-2</v>
      </c>
      <c r="C14">
        <v>0.40068903535050898</v>
      </c>
      <c r="D14">
        <v>4.4937088076692597E-2</v>
      </c>
      <c r="E14">
        <v>2.2468544038346298E-2</v>
      </c>
      <c r="F14">
        <v>4.8681845416416999E-2</v>
      </c>
      <c r="G14">
        <v>6.7405632115038902E-2</v>
      </c>
      <c r="H14">
        <v>1.1234272019173199E-2</v>
      </c>
      <c r="I14">
        <v>5.9916117435590201E-2</v>
      </c>
      <c r="J14">
        <v>0.63286399041342101</v>
      </c>
      <c r="K14">
        <v>1.32938885560216</v>
      </c>
      <c r="L14">
        <v>0.40817855002995801</v>
      </c>
      <c r="M14">
        <v>6.7405632115038902E-2</v>
      </c>
      <c r="N14">
        <v>3.7447573397243902E-2</v>
      </c>
      <c r="O14">
        <v>0.40817855002995801</v>
      </c>
      <c r="P14">
        <v>4.4937088076692597E-2</v>
      </c>
      <c r="Q14">
        <v>8.6129418813660902E-2</v>
      </c>
      <c r="R14">
        <v>0.46809466746554801</v>
      </c>
      <c r="S14">
        <v>5.9916117435590201E-2</v>
      </c>
      <c r="T14">
        <v>0.314559616536848</v>
      </c>
      <c r="U14">
        <v>4.8681845416416999E-2</v>
      </c>
      <c r="V14">
        <v>0</v>
      </c>
      <c r="W14">
        <v>1.49790293588975E-2</v>
      </c>
      <c r="X14">
        <v>7.8639904134212096E-2</v>
      </c>
      <c r="Y14">
        <v>0.61414020371479905</v>
      </c>
      <c r="Z14">
        <v>3.7447573397243902E-2</v>
      </c>
      <c r="AA14">
        <v>4.4937088076692597E-2</v>
      </c>
      <c r="AB14">
        <v>9.3618933493109693E-2</v>
      </c>
      <c r="AC14">
        <v>5.2426602756141402E-2</v>
      </c>
      <c r="AD14">
        <v>3.37028160575195E-2</v>
      </c>
      <c r="AE14">
        <v>0.101108448172558</v>
      </c>
      <c r="AF14">
        <f t="shared" si="0"/>
        <v>5.6321150389454768</v>
      </c>
    </row>
    <row r="15" spans="1:32" x14ac:dyDescent="0.2">
      <c r="A15" t="s">
        <v>45</v>
      </c>
      <c r="B15">
        <v>0.23621267627547801</v>
      </c>
      <c r="C15">
        <v>2.2631154613219399E-2</v>
      </c>
      <c r="D15">
        <v>1.27300244699359E-2</v>
      </c>
      <c r="E15">
        <v>8.0623488309594205E-2</v>
      </c>
      <c r="F15">
        <v>2.6874496103198101E-2</v>
      </c>
      <c r="G15">
        <v>2.9703390429850499E-2</v>
      </c>
      <c r="H15">
        <v>2.2631154613219399E-2</v>
      </c>
      <c r="I15">
        <v>1.4144471633262101E-3</v>
      </c>
      <c r="J15">
        <v>0.19802260286567</v>
      </c>
      <c r="K15">
        <v>0.216410415988911</v>
      </c>
      <c r="L15">
        <v>0.101840195759487</v>
      </c>
      <c r="M15">
        <v>5.6577886533048603E-3</v>
      </c>
      <c r="N15">
        <v>2.4045601776545598E-2</v>
      </c>
      <c r="O15">
        <v>3.9604520573134003E-2</v>
      </c>
      <c r="P15">
        <v>1.4144471633262101E-3</v>
      </c>
      <c r="Q15">
        <v>0</v>
      </c>
      <c r="R15">
        <v>0.16831921243581899</v>
      </c>
      <c r="S15">
        <v>0</v>
      </c>
      <c r="T15">
        <v>6.9307911002984501E-2</v>
      </c>
      <c r="U15">
        <v>3.8190073409807797E-2</v>
      </c>
      <c r="V15">
        <v>2.82889432665243E-2</v>
      </c>
      <c r="W15">
        <v>1.8387813123240799E-2</v>
      </c>
      <c r="X15">
        <v>3.9604520573134003E-2</v>
      </c>
      <c r="Y15">
        <v>0.16549031810916701</v>
      </c>
      <c r="Z15">
        <v>9.9011301432835007E-3</v>
      </c>
      <c r="AA15">
        <v>2.4045601776545598E-2</v>
      </c>
      <c r="AB15">
        <v>5.3748992206396097E-2</v>
      </c>
      <c r="AC15">
        <v>1.69733659599146E-2</v>
      </c>
      <c r="AD15">
        <v>2.8288943266524301E-3</v>
      </c>
      <c r="AE15">
        <v>0</v>
      </c>
      <c r="AF15">
        <f t="shared" si="0"/>
        <v>1.4186905048161915</v>
      </c>
    </row>
    <row r="16" spans="1:32" x14ac:dyDescent="0.2">
      <c r="A16" t="s">
        <v>46</v>
      </c>
      <c r="B16">
        <v>0.16381404281760201</v>
      </c>
      <c r="C16">
        <v>0.28385019488222302</v>
      </c>
      <c r="D16">
        <v>4.8014460825848697E-2</v>
      </c>
      <c r="E16">
        <v>4.0953510704400398E-2</v>
      </c>
      <c r="F16">
        <v>0.223126023837768</v>
      </c>
      <c r="G16">
        <v>0</v>
      </c>
      <c r="H16">
        <v>2.5419420437213999E-2</v>
      </c>
      <c r="I16">
        <v>1.83584703157657E-2</v>
      </c>
      <c r="J16">
        <v>0.418008247189742</v>
      </c>
      <c r="K16">
        <v>0.76117042309213101</v>
      </c>
      <c r="L16">
        <v>0.42648138733548002</v>
      </c>
      <c r="M16">
        <v>6.9197311190193705E-2</v>
      </c>
      <c r="N16">
        <v>4.2365700728690101E-2</v>
      </c>
      <c r="O16">
        <v>0.272552674687906</v>
      </c>
      <c r="P16">
        <v>6.0724171044455703E-2</v>
      </c>
      <c r="Q16">
        <v>3.67169406315314E-2</v>
      </c>
      <c r="R16">
        <v>0.418008247189742</v>
      </c>
      <c r="S16">
        <v>5.0838840874428103E-2</v>
      </c>
      <c r="T16">
        <v>0.50980059876856998</v>
      </c>
      <c r="U16">
        <v>4.2365700728690101E-2</v>
      </c>
      <c r="V16">
        <v>1.6946280291476001E-2</v>
      </c>
      <c r="W16">
        <v>4.0953510704400398E-2</v>
      </c>
      <c r="X16">
        <v>0.17087499293905001</v>
      </c>
      <c r="Y16">
        <v>0.46884708806417003</v>
      </c>
      <c r="Z16">
        <v>4.8014460825848697E-2</v>
      </c>
      <c r="AA16">
        <v>2.40072304129244E-2</v>
      </c>
      <c r="AB16">
        <v>5.2251030898717701E-2</v>
      </c>
      <c r="AC16">
        <v>7.2021691238773097E-2</v>
      </c>
      <c r="AD16">
        <v>4.6602270801559098E-2</v>
      </c>
      <c r="AE16">
        <v>3.9541320680110702E-2</v>
      </c>
      <c r="AF16">
        <f t="shared" si="0"/>
        <v>4.7280122013218104</v>
      </c>
    </row>
    <row r="17" spans="1:32" x14ac:dyDescent="0.2">
      <c r="A17" t="s">
        <v>47</v>
      </c>
      <c r="B17">
        <v>0</v>
      </c>
      <c r="C17">
        <v>0.12570710245128799</v>
      </c>
      <c r="D17">
        <v>0</v>
      </c>
      <c r="E17">
        <v>0.25141420490257699</v>
      </c>
      <c r="F17">
        <v>0</v>
      </c>
      <c r="G17">
        <v>0.12570710245128799</v>
      </c>
      <c r="H17">
        <v>0</v>
      </c>
      <c r="I17">
        <v>6.2853551225644205E-2</v>
      </c>
      <c r="J17">
        <v>0</v>
      </c>
      <c r="K17">
        <v>0.87994971715901904</v>
      </c>
      <c r="L17">
        <v>0.12570710245128799</v>
      </c>
      <c r="M17">
        <v>0</v>
      </c>
      <c r="N17">
        <v>0</v>
      </c>
      <c r="O17">
        <v>0.12570710245128799</v>
      </c>
      <c r="P17">
        <v>0</v>
      </c>
      <c r="Q17">
        <v>0</v>
      </c>
      <c r="R17">
        <v>0</v>
      </c>
      <c r="S17">
        <v>6.2853551225644205E-2</v>
      </c>
      <c r="T17">
        <v>0</v>
      </c>
      <c r="U17">
        <v>0</v>
      </c>
      <c r="V17">
        <v>0</v>
      </c>
      <c r="W17">
        <v>6.2853551225644205E-2</v>
      </c>
      <c r="X17">
        <v>0</v>
      </c>
      <c r="Y17">
        <v>0.25141420490257699</v>
      </c>
      <c r="Z17">
        <v>0</v>
      </c>
      <c r="AA17">
        <v>0</v>
      </c>
      <c r="AB17">
        <v>0</v>
      </c>
      <c r="AC17">
        <v>0.12570710245128799</v>
      </c>
      <c r="AD17">
        <v>0</v>
      </c>
      <c r="AE17">
        <v>6.2853551225644205E-2</v>
      </c>
      <c r="AF17">
        <f t="shared" si="0"/>
        <v>2.2627278441231899</v>
      </c>
    </row>
    <row r="18" spans="1:32" x14ac:dyDescent="0.2">
      <c r="A18" t="s">
        <v>48</v>
      </c>
      <c r="B18">
        <v>0.15255530129671999</v>
      </c>
      <c r="C18">
        <v>0.19341832842977</v>
      </c>
      <c r="D18">
        <v>0.12258908139914999</v>
      </c>
      <c r="E18">
        <v>0.20976353928298999</v>
      </c>
      <c r="F18">
        <v>4.9035632559660002E-2</v>
      </c>
      <c r="G18">
        <v>2.4517816279830001E-2</v>
      </c>
      <c r="H18">
        <v>0</v>
      </c>
      <c r="I18">
        <v>9.8071265119320003E-2</v>
      </c>
      <c r="J18">
        <v>0.43314808761033002</v>
      </c>
      <c r="K18">
        <v>0.49308052740546998</v>
      </c>
      <c r="L18">
        <v>0.19069412662089999</v>
      </c>
      <c r="M18">
        <v>1.6345210853220001E-2</v>
      </c>
      <c r="N18">
        <v>3.8138825324179997E-2</v>
      </c>
      <c r="O18">
        <v>0.14438269587010999</v>
      </c>
      <c r="P18">
        <v>2.996621989757E-2</v>
      </c>
      <c r="Q18">
        <v>4.0863027133049998E-2</v>
      </c>
      <c r="R18">
        <v>0.38411245505066999</v>
      </c>
      <c r="S18">
        <v>3.2690421706440001E-2</v>
      </c>
      <c r="T18">
        <v>0.22610875013621001</v>
      </c>
      <c r="U18">
        <v>1.6345210853220001E-2</v>
      </c>
      <c r="V18">
        <v>1.6345210853220001E-2</v>
      </c>
      <c r="W18">
        <v>4.0863027133049998E-2</v>
      </c>
      <c r="X18">
        <v>7.6277650648359993E-2</v>
      </c>
      <c r="Y18">
        <v>0.58570338890704998</v>
      </c>
      <c r="Z18">
        <v>4.0863027133049998E-2</v>
      </c>
      <c r="AA18">
        <v>1.9069412662089998E-2</v>
      </c>
      <c r="AB18">
        <v>7.0829247030620004E-2</v>
      </c>
      <c r="AC18">
        <v>3.5414623515310002E-2</v>
      </c>
      <c r="AD18">
        <v>1.089680723548E-2</v>
      </c>
      <c r="AE18">
        <v>5.4484036177399997E-2</v>
      </c>
      <c r="AF18">
        <f t="shared" si="0"/>
        <v>3.69401765282772</v>
      </c>
    </row>
    <row r="19" spans="1:32" x14ac:dyDescent="0.2">
      <c r="A19" t="s">
        <v>49</v>
      </c>
      <c r="B19">
        <v>6.9174692704730506E-2</v>
      </c>
      <c r="C19">
        <v>6.9174692704730506E-2</v>
      </c>
      <c r="D19">
        <v>4.7890171872505702E-2</v>
      </c>
      <c r="E19">
        <v>0.234129729154472</v>
      </c>
      <c r="F19">
        <v>0.14367051561751701</v>
      </c>
      <c r="G19">
        <v>0.117064864577236</v>
      </c>
      <c r="H19">
        <v>5.3211302080561899E-2</v>
      </c>
      <c r="I19">
        <v>2.1284520832224801E-2</v>
      </c>
      <c r="J19">
        <v>0.23945085936252899</v>
      </c>
      <c r="K19">
        <v>0.36183685414782102</v>
      </c>
      <c r="L19">
        <v>0.101101473953068</v>
      </c>
      <c r="M19">
        <v>0</v>
      </c>
      <c r="N19">
        <v>0</v>
      </c>
      <c r="O19">
        <v>6.9174692704730506E-2</v>
      </c>
      <c r="P19">
        <v>0</v>
      </c>
      <c r="Q19">
        <v>0</v>
      </c>
      <c r="R19">
        <v>6.9174692704730506E-2</v>
      </c>
      <c r="S19">
        <v>1.06422604161124E-2</v>
      </c>
      <c r="T19">
        <v>7.4495822912786697E-2</v>
      </c>
      <c r="U19">
        <v>0</v>
      </c>
      <c r="V19">
        <v>0</v>
      </c>
      <c r="W19">
        <v>1.59633906241686E-2</v>
      </c>
      <c r="X19">
        <v>1.59633906241686E-2</v>
      </c>
      <c r="Y19">
        <v>0.191560687490023</v>
      </c>
      <c r="Z19">
        <v>1.59633906241686E-2</v>
      </c>
      <c r="AA19">
        <v>0</v>
      </c>
      <c r="AB19">
        <v>3.1926781248337102E-2</v>
      </c>
      <c r="AC19">
        <v>2.1284520832224801E-2</v>
      </c>
      <c r="AD19">
        <v>3.1926781248337102E-2</v>
      </c>
      <c r="AE19">
        <v>0</v>
      </c>
      <c r="AF19">
        <f t="shared" si="0"/>
        <v>1.9368913957324536</v>
      </c>
    </row>
    <row r="20" spans="1:32" x14ac:dyDescent="0.2">
      <c r="A20" t="s">
        <v>50</v>
      </c>
      <c r="B20">
        <v>0</v>
      </c>
      <c r="C20">
        <v>1.07654214662504E-2</v>
      </c>
      <c r="D20">
        <v>0</v>
      </c>
      <c r="E20">
        <v>0</v>
      </c>
      <c r="F20">
        <v>6.4592528797502394E-2</v>
      </c>
      <c r="G20">
        <v>3.2296264398751197E-2</v>
      </c>
      <c r="H20">
        <v>0</v>
      </c>
      <c r="I20">
        <v>2.15308429325008E-2</v>
      </c>
      <c r="J20">
        <v>0.21530842932500799</v>
      </c>
      <c r="K20">
        <v>0.26913553665626</v>
      </c>
      <c r="L20">
        <v>7.5357950263752804E-2</v>
      </c>
      <c r="M20">
        <v>2.15308429325008E-2</v>
      </c>
      <c r="N20">
        <v>0</v>
      </c>
      <c r="O20">
        <v>7.5357950263752804E-2</v>
      </c>
      <c r="P20">
        <v>3.2296264398751197E-2</v>
      </c>
      <c r="Q20">
        <v>2.15308429325008E-2</v>
      </c>
      <c r="R20">
        <v>0.12918505759500501</v>
      </c>
      <c r="S20">
        <v>0</v>
      </c>
      <c r="T20">
        <v>0.150715900527506</v>
      </c>
      <c r="U20">
        <v>0</v>
      </c>
      <c r="V20">
        <v>1.07654214662504E-2</v>
      </c>
      <c r="W20">
        <v>0</v>
      </c>
      <c r="X20">
        <v>5.3827107331251997E-2</v>
      </c>
      <c r="Y20">
        <v>0.27990095812250998</v>
      </c>
      <c r="Z20">
        <v>1.07654214662504E-2</v>
      </c>
      <c r="AA20">
        <v>1.07654214662504E-2</v>
      </c>
      <c r="AB20">
        <v>0</v>
      </c>
      <c r="AC20">
        <v>2.15308429325008E-2</v>
      </c>
      <c r="AD20">
        <v>1.07654214662504E-2</v>
      </c>
      <c r="AE20">
        <v>3.2296264398751197E-2</v>
      </c>
      <c r="AF20">
        <f t="shared" si="0"/>
        <v>1.5502206911400582</v>
      </c>
    </row>
    <row r="21" spans="1:32" x14ac:dyDescent="0.2">
      <c r="A21" t="s">
        <v>51</v>
      </c>
      <c r="B21">
        <v>0.205432549646199</v>
      </c>
      <c r="C21">
        <v>9.1303355398310901E-2</v>
      </c>
      <c r="D21">
        <v>0</v>
      </c>
      <c r="E21">
        <v>1.1412919424788901E-2</v>
      </c>
      <c r="F21">
        <v>4.5651677699155402E-2</v>
      </c>
      <c r="G21">
        <v>1.1412919424788901E-2</v>
      </c>
      <c r="H21">
        <v>0</v>
      </c>
      <c r="I21">
        <v>0</v>
      </c>
      <c r="J21">
        <v>0.26249714677014402</v>
      </c>
      <c r="K21">
        <v>0.49075553526592097</v>
      </c>
      <c r="L21">
        <v>5.7064597123944301E-2</v>
      </c>
      <c r="M21">
        <v>0</v>
      </c>
      <c r="N21">
        <v>0</v>
      </c>
      <c r="O21">
        <v>4.5651677699155402E-2</v>
      </c>
      <c r="P21">
        <v>0</v>
      </c>
      <c r="Q21">
        <v>2.2825838849577701E-2</v>
      </c>
      <c r="R21">
        <v>4.5651677699155402E-2</v>
      </c>
      <c r="S21">
        <v>3.42387582743666E-2</v>
      </c>
      <c r="T21">
        <v>0.22825838849577701</v>
      </c>
      <c r="U21">
        <v>0</v>
      </c>
      <c r="V21">
        <v>0</v>
      </c>
      <c r="W21">
        <v>1.1412919424788901E-2</v>
      </c>
      <c r="X21">
        <v>5.7064597123944301E-2</v>
      </c>
      <c r="Y21">
        <v>0.15978087194704399</v>
      </c>
      <c r="Z21">
        <v>3.42387582743666E-2</v>
      </c>
      <c r="AA21">
        <v>1.1412919424788901E-2</v>
      </c>
      <c r="AB21">
        <v>0</v>
      </c>
      <c r="AC21">
        <v>0</v>
      </c>
      <c r="AD21">
        <v>0</v>
      </c>
      <c r="AE21">
        <v>0</v>
      </c>
      <c r="AF21">
        <f t="shared" si="0"/>
        <v>1.6206345583200181</v>
      </c>
    </row>
    <row r="22" spans="1:32" x14ac:dyDescent="0.2">
      <c r="A22" t="s">
        <v>52</v>
      </c>
      <c r="B22">
        <v>0</v>
      </c>
      <c r="C22">
        <v>0.15562991206910001</v>
      </c>
      <c r="D22">
        <v>7.7814956034549798E-3</v>
      </c>
      <c r="E22">
        <v>0</v>
      </c>
      <c r="F22">
        <v>7.7814956034549798E-3</v>
      </c>
      <c r="G22">
        <v>7.7814956034549798E-3</v>
      </c>
      <c r="H22">
        <v>7.7814956034549798E-3</v>
      </c>
      <c r="I22">
        <v>7.7814956034549798E-2</v>
      </c>
      <c r="J22">
        <v>0.13228542525873499</v>
      </c>
      <c r="K22">
        <v>0.599175161466034</v>
      </c>
      <c r="L22">
        <v>0.18675589448291999</v>
      </c>
      <c r="M22">
        <v>7.7814956034549798E-3</v>
      </c>
      <c r="N22">
        <v>2.3344486810364901E-2</v>
      </c>
      <c r="O22">
        <v>7.0033460431094902E-2</v>
      </c>
      <c r="P22">
        <v>7.7814956034549798E-3</v>
      </c>
      <c r="Q22">
        <v>2.3344486810364901E-2</v>
      </c>
      <c r="R22">
        <v>0.17119290327601</v>
      </c>
      <c r="S22">
        <v>7.7814956034549798E-3</v>
      </c>
      <c r="T22">
        <v>6.2251964827639901E-2</v>
      </c>
      <c r="U22">
        <v>7.0033460431094902E-2</v>
      </c>
      <c r="V22">
        <v>0</v>
      </c>
      <c r="W22">
        <v>2.3344486810364901E-2</v>
      </c>
      <c r="X22">
        <v>2.3344486810364901E-2</v>
      </c>
      <c r="Y22">
        <v>0.19453739008637499</v>
      </c>
      <c r="Z22">
        <v>2.3344486810364901E-2</v>
      </c>
      <c r="AA22">
        <v>2.3344486810364901E-2</v>
      </c>
      <c r="AB22">
        <v>0</v>
      </c>
      <c r="AC22">
        <v>0</v>
      </c>
      <c r="AD22">
        <v>1.556299120691E-2</v>
      </c>
      <c r="AE22">
        <v>3.8907478017274899E-2</v>
      </c>
      <c r="AF22">
        <f t="shared" si="0"/>
        <v>1.9687183876741126</v>
      </c>
    </row>
    <row r="23" spans="1:32" x14ac:dyDescent="0.2">
      <c r="A23" t="s">
        <v>53</v>
      </c>
      <c r="B23">
        <v>0.37950664136622397</v>
      </c>
      <c r="C23">
        <v>0.37950664136622397</v>
      </c>
      <c r="D23">
        <v>6.3251106894370607E-2</v>
      </c>
      <c r="E23">
        <v>0</v>
      </c>
      <c r="F23">
        <v>0.18975332068311199</v>
      </c>
      <c r="G23">
        <v>0</v>
      </c>
      <c r="H23">
        <v>0</v>
      </c>
      <c r="I23">
        <v>6.3251106894370607E-2</v>
      </c>
      <c r="J23">
        <v>0</v>
      </c>
      <c r="K23">
        <v>0.31625553447185301</v>
      </c>
      <c r="L23">
        <v>0.37950664136622397</v>
      </c>
      <c r="M23">
        <v>0</v>
      </c>
      <c r="N23">
        <v>0</v>
      </c>
      <c r="O23">
        <v>6.3251106894370607E-2</v>
      </c>
      <c r="P23">
        <v>0</v>
      </c>
      <c r="Q23">
        <v>0</v>
      </c>
      <c r="R23">
        <v>0.12650221378874099</v>
      </c>
      <c r="S23">
        <v>0</v>
      </c>
      <c r="T23">
        <v>0</v>
      </c>
      <c r="U23">
        <v>0</v>
      </c>
      <c r="V23">
        <v>0</v>
      </c>
      <c r="W23">
        <v>6.3251106894370607E-2</v>
      </c>
      <c r="X23">
        <v>0</v>
      </c>
      <c r="Y23">
        <v>0</v>
      </c>
      <c r="Z23">
        <v>0</v>
      </c>
      <c r="AA23">
        <v>0</v>
      </c>
      <c r="AB23">
        <v>0.12650221378874099</v>
      </c>
      <c r="AC23">
        <v>0</v>
      </c>
      <c r="AD23">
        <v>0</v>
      </c>
      <c r="AE23">
        <v>0</v>
      </c>
      <c r="AF23">
        <f t="shared" si="0"/>
        <v>1.7710309930423775</v>
      </c>
    </row>
    <row r="24" spans="1:32" x14ac:dyDescent="0.2">
      <c r="A24" t="s">
        <v>54</v>
      </c>
      <c r="B24">
        <v>0.105741120855881</v>
      </c>
      <c r="C24">
        <v>0.118181252721279</v>
      </c>
      <c r="D24">
        <v>0.17416184611556901</v>
      </c>
      <c r="E24">
        <v>6.22006593269889E-2</v>
      </c>
      <c r="F24">
        <v>0.31100329663494403</v>
      </c>
      <c r="G24">
        <v>0.16794178018287001</v>
      </c>
      <c r="H24">
        <v>3.7320395596193302E-2</v>
      </c>
      <c r="I24">
        <v>6.22006593269889E-2</v>
      </c>
      <c r="J24">
        <v>0.22392237357715999</v>
      </c>
      <c r="K24">
        <v>0.24880263730795499</v>
      </c>
      <c r="L24">
        <v>0.192822043913665</v>
      </c>
      <c r="M24">
        <v>1.24401318653978E-2</v>
      </c>
      <c r="N24">
        <v>1.24401318653978E-2</v>
      </c>
      <c r="O24">
        <v>3.1100329663494401E-2</v>
      </c>
      <c r="P24">
        <v>2.48802637307955E-2</v>
      </c>
      <c r="Q24">
        <v>1.24401318653978E-2</v>
      </c>
      <c r="R24">
        <v>5.5980593394289999E-2</v>
      </c>
      <c r="S24">
        <v>1.24401318653978E-2</v>
      </c>
      <c r="T24">
        <v>7.4640791192386605E-2</v>
      </c>
      <c r="U24">
        <v>0</v>
      </c>
      <c r="V24">
        <v>0</v>
      </c>
      <c r="W24">
        <v>0</v>
      </c>
      <c r="X24">
        <v>4.3540461528892203E-2</v>
      </c>
      <c r="Y24">
        <v>0.13062138458667699</v>
      </c>
      <c r="Z24">
        <v>0</v>
      </c>
      <c r="AA24">
        <v>0</v>
      </c>
      <c r="AB24">
        <v>1.24401318653978E-2</v>
      </c>
      <c r="AC24">
        <v>6.2200659326988898E-3</v>
      </c>
      <c r="AD24">
        <v>0</v>
      </c>
      <c r="AE24">
        <v>1.24401318653978E-2</v>
      </c>
      <c r="AF24">
        <f t="shared" si="0"/>
        <v>2.0401816259252343</v>
      </c>
    </row>
    <row r="25" spans="1:32" x14ac:dyDescent="0.2">
      <c r="A25" t="s">
        <v>55</v>
      </c>
      <c r="B25">
        <v>0.101361135244715</v>
      </c>
      <c r="C25">
        <v>0.21720243266724601</v>
      </c>
      <c r="D25">
        <v>7.2400810889082E-3</v>
      </c>
      <c r="E25">
        <v>0.14721498214113299</v>
      </c>
      <c r="F25">
        <v>2.4133603629694E-3</v>
      </c>
      <c r="G25">
        <v>4.8267207259388E-3</v>
      </c>
      <c r="H25">
        <v>0</v>
      </c>
      <c r="I25">
        <v>4.8267207259387997E-2</v>
      </c>
      <c r="J25">
        <v>0.39337773916401197</v>
      </c>
      <c r="K25">
        <v>0.70711458635003399</v>
      </c>
      <c r="L25">
        <v>2.3433729124432898</v>
      </c>
      <c r="M25">
        <v>7.2400810889082E-3</v>
      </c>
      <c r="N25">
        <v>0</v>
      </c>
      <c r="O25">
        <v>0.219615793030215</v>
      </c>
      <c r="P25">
        <v>2.89603243556328E-2</v>
      </c>
      <c r="Q25">
        <v>3.3787045081571598E-2</v>
      </c>
      <c r="R25">
        <v>0.226855874119123</v>
      </c>
      <c r="S25">
        <v>1.6893522540785799E-2</v>
      </c>
      <c r="T25">
        <v>0.188242108311613</v>
      </c>
      <c r="U25">
        <v>1.6893522540785799E-2</v>
      </c>
      <c r="V25">
        <v>2.4133603629693998E-2</v>
      </c>
      <c r="W25">
        <v>2.1720243266724601E-2</v>
      </c>
      <c r="X25">
        <v>4.5853846896418603E-2</v>
      </c>
      <c r="Y25">
        <v>0.41509798243073698</v>
      </c>
      <c r="Z25">
        <v>1.6893522540785799E-2</v>
      </c>
      <c r="AA25">
        <v>9.6534414518775896E-3</v>
      </c>
      <c r="AB25">
        <v>1.2066801814846999E-2</v>
      </c>
      <c r="AC25">
        <v>5.3093927985326798E-2</v>
      </c>
      <c r="AD25">
        <v>2.1720243266724601E-2</v>
      </c>
      <c r="AE25">
        <v>2.4133603629693998E-2</v>
      </c>
      <c r="AF25">
        <f t="shared" si="0"/>
        <v>5.253885510184384</v>
      </c>
    </row>
    <row r="26" spans="1:32" x14ac:dyDescent="0.2">
      <c r="A26" t="s">
        <v>56</v>
      </c>
      <c r="B26">
        <v>1.7956545160711102E-2</v>
      </c>
      <c r="C26">
        <v>2.9927575267851801E-2</v>
      </c>
      <c r="D26">
        <v>0.17357993655354001</v>
      </c>
      <c r="E26">
        <v>5.9855150535703602E-2</v>
      </c>
      <c r="F26">
        <v>0.10175375591069601</v>
      </c>
      <c r="G26">
        <v>1.19710301071407E-2</v>
      </c>
      <c r="H26">
        <v>0</v>
      </c>
      <c r="I26">
        <v>1.7956545160711102E-2</v>
      </c>
      <c r="J26">
        <v>0.33518884299994001</v>
      </c>
      <c r="K26">
        <v>0.29329023762494799</v>
      </c>
      <c r="L26">
        <v>0.13168133117854799</v>
      </c>
      <c r="M26">
        <v>0</v>
      </c>
      <c r="N26">
        <v>0</v>
      </c>
      <c r="O26">
        <v>0.10175375591069601</v>
      </c>
      <c r="P26">
        <v>1.19710301071407E-2</v>
      </c>
      <c r="Q26">
        <v>1.19710301071407E-2</v>
      </c>
      <c r="R26">
        <v>0.113724786017837</v>
      </c>
      <c r="S26">
        <v>1.7956545160711102E-2</v>
      </c>
      <c r="T26">
        <v>5.9855150535703602E-2</v>
      </c>
      <c r="U26">
        <v>2.9927575267851801E-2</v>
      </c>
      <c r="V26">
        <v>5.9855150535703602E-3</v>
      </c>
      <c r="W26">
        <v>5.9855150535703602E-3</v>
      </c>
      <c r="X26">
        <v>7.1826180642844295E-2</v>
      </c>
      <c r="Y26">
        <v>8.9782725803555397E-2</v>
      </c>
      <c r="Z26">
        <v>2.3942060214281399E-2</v>
      </c>
      <c r="AA26">
        <v>2.3942060214281399E-2</v>
      </c>
      <c r="AB26">
        <v>1.19710301071407E-2</v>
      </c>
      <c r="AC26">
        <v>5.9855150535703602E-3</v>
      </c>
      <c r="AD26">
        <v>0</v>
      </c>
      <c r="AE26">
        <v>1.19710301071407E-2</v>
      </c>
      <c r="AF26">
        <f t="shared" si="0"/>
        <v>1.7537559106961158</v>
      </c>
    </row>
    <row r="27" spans="1:32" x14ac:dyDescent="0.2">
      <c r="A27" t="s">
        <v>57</v>
      </c>
      <c r="B27">
        <v>6.7006743904547805E-2</v>
      </c>
      <c r="C27">
        <v>8.8621822583434207E-2</v>
      </c>
      <c r="D27">
        <v>3.2422618018329602E-2</v>
      </c>
      <c r="E27">
        <v>4.7553173093550102E-2</v>
      </c>
      <c r="F27">
        <v>7.7814283243991006E-2</v>
      </c>
      <c r="G27">
        <v>6.4845236036659204E-2</v>
      </c>
      <c r="H27">
        <v>2.8099602282552299E-2</v>
      </c>
      <c r="I27">
        <v>1.7292062943109102E-2</v>
      </c>
      <c r="J27">
        <v>4.5391665225661397E-2</v>
      </c>
      <c r="K27">
        <v>1.51305550752205E-2</v>
      </c>
      <c r="L27">
        <v>8.4298806847656907E-2</v>
      </c>
      <c r="M27">
        <v>2.8099602282552299E-2</v>
      </c>
      <c r="N27">
        <v>8.6460314715545595E-3</v>
      </c>
      <c r="O27">
        <v>6.4845236036659201E-3</v>
      </c>
      <c r="P27">
        <v>6.4845236036659201E-3</v>
      </c>
      <c r="Q27">
        <v>4.3230157357772797E-3</v>
      </c>
      <c r="R27">
        <v>3.4584125886218203E-2</v>
      </c>
      <c r="S27">
        <v>1.7292062943109102E-2</v>
      </c>
      <c r="T27">
        <v>2.8099602282552299E-2</v>
      </c>
      <c r="U27">
        <v>2.1615078678886399E-3</v>
      </c>
      <c r="V27">
        <v>6.4845236036659201E-3</v>
      </c>
      <c r="W27">
        <v>1.29690472073318E-2</v>
      </c>
      <c r="X27">
        <v>6.4845236036659201E-3</v>
      </c>
      <c r="Y27">
        <v>3.2422618018329602E-2</v>
      </c>
      <c r="Z27">
        <v>1.0807539339443201E-2</v>
      </c>
      <c r="AA27">
        <v>8.6460314715545595E-3</v>
      </c>
      <c r="AB27">
        <v>8.6460314715545595E-3</v>
      </c>
      <c r="AC27">
        <v>8.6460314715545595E-3</v>
      </c>
      <c r="AD27">
        <v>1.0807539339443201E-2</v>
      </c>
      <c r="AE27">
        <v>0</v>
      </c>
      <c r="AF27">
        <f t="shared" si="0"/>
        <v>0.74355870655369172</v>
      </c>
    </row>
    <row r="28" spans="1:32" x14ac:dyDescent="0.2">
      <c r="A28" t="s">
        <v>58</v>
      </c>
      <c r="B28">
        <v>0.166053848890998</v>
      </c>
      <c r="C28">
        <v>0.189775827303997</v>
      </c>
      <c r="D28">
        <v>0</v>
      </c>
      <c r="E28">
        <v>5.9304946032499098E-2</v>
      </c>
      <c r="F28">
        <v>3.55829676194995E-2</v>
      </c>
      <c r="G28">
        <v>1.18609892064998E-2</v>
      </c>
      <c r="H28">
        <v>2.3721978412999601E-2</v>
      </c>
      <c r="I28">
        <v>0.106748902858498</v>
      </c>
      <c r="J28">
        <v>0.55746649270549198</v>
      </c>
      <c r="K28">
        <v>0.59304946032499095</v>
      </c>
      <c r="L28">
        <v>0.189775827303997</v>
      </c>
      <c r="M28">
        <v>1.18609892064998E-2</v>
      </c>
      <c r="N28">
        <v>4.7443956825999299E-2</v>
      </c>
      <c r="O28">
        <v>0.308385719368995</v>
      </c>
      <c r="P28">
        <v>1.18609892064998E-2</v>
      </c>
      <c r="Q28">
        <v>3.55829676194995E-2</v>
      </c>
      <c r="R28">
        <v>0.142331870477998</v>
      </c>
      <c r="S28">
        <v>0</v>
      </c>
      <c r="T28">
        <v>0.189775827303997</v>
      </c>
      <c r="U28">
        <v>4.7443956825999299E-2</v>
      </c>
      <c r="V28">
        <v>0</v>
      </c>
      <c r="W28">
        <v>8.3026924445498806E-2</v>
      </c>
      <c r="X28">
        <v>0.142331870477998</v>
      </c>
      <c r="Y28">
        <v>0.72352034159648904</v>
      </c>
      <c r="Z28">
        <v>3.55829676194995E-2</v>
      </c>
      <c r="AA28">
        <v>2.3721978412999601E-2</v>
      </c>
      <c r="AB28">
        <v>5.9304946032499098E-2</v>
      </c>
      <c r="AC28">
        <v>5.9304946032499098E-2</v>
      </c>
      <c r="AD28">
        <v>0.106748902858498</v>
      </c>
      <c r="AE28">
        <v>2.3721978412999601E-2</v>
      </c>
      <c r="AF28">
        <f t="shared" si="0"/>
        <v>3.8192385244929405</v>
      </c>
    </row>
    <row r="29" spans="1:32" x14ac:dyDescent="0.2">
      <c r="A29" t="s">
        <v>59</v>
      </c>
      <c r="B29">
        <v>0.74962518740629702</v>
      </c>
      <c r="C29">
        <v>9.99500249875062E-2</v>
      </c>
      <c r="D29">
        <v>9.99500249875062E-2</v>
      </c>
      <c r="E29">
        <v>0.14992503748125899</v>
      </c>
      <c r="F29">
        <v>0</v>
      </c>
      <c r="G29">
        <v>9.99500249875062E-2</v>
      </c>
      <c r="H29">
        <v>0</v>
      </c>
      <c r="I29">
        <v>9.99500249875062E-2</v>
      </c>
      <c r="J29">
        <v>0</v>
      </c>
      <c r="K29">
        <v>0.64967516241879097</v>
      </c>
      <c r="L29">
        <v>0.29985007496251898</v>
      </c>
      <c r="M29">
        <v>4.99750124937531E-2</v>
      </c>
      <c r="N29">
        <v>4.99750124937531E-2</v>
      </c>
      <c r="O29">
        <v>0.29985007496251898</v>
      </c>
      <c r="P29">
        <v>0.19990004997501201</v>
      </c>
      <c r="Q29">
        <v>4.99750124937531E-2</v>
      </c>
      <c r="R29">
        <v>0.19990004997501201</v>
      </c>
      <c r="S29">
        <v>9.99500249875062E-2</v>
      </c>
      <c r="T29">
        <v>0.699650174912544</v>
      </c>
      <c r="U29">
        <v>0</v>
      </c>
      <c r="V29">
        <v>9.99500249875062E-2</v>
      </c>
      <c r="W29">
        <v>0</v>
      </c>
      <c r="X29">
        <v>9.99500249875062E-2</v>
      </c>
      <c r="Y29">
        <v>0.29985007496251898</v>
      </c>
      <c r="Z29">
        <v>0</v>
      </c>
      <c r="AA29">
        <v>9.99500249875062E-2</v>
      </c>
      <c r="AB29">
        <v>0</v>
      </c>
      <c r="AC29">
        <v>9.99500249875062E-2</v>
      </c>
      <c r="AD29">
        <v>9.99500249875062E-2</v>
      </c>
      <c r="AE29">
        <v>0</v>
      </c>
      <c r="AF29">
        <f t="shared" si="0"/>
        <v>3.9480259870064955</v>
      </c>
    </row>
    <row r="30" spans="1:32" x14ac:dyDescent="0.2">
      <c r="A30" t="s">
        <v>60</v>
      </c>
      <c r="B30">
        <v>0</v>
      </c>
      <c r="C30">
        <v>0.11570247933884301</v>
      </c>
      <c r="D30">
        <v>0</v>
      </c>
      <c r="E30">
        <v>3.3057851239669402E-2</v>
      </c>
      <c r="F30">
        <v>3.3057851239669402E-2</v>
      </c>
      <c r="G30">
        <v>0</v>
      </c>
      <c r="H30">
        <v>0</v>
      </c>
      <c r="I30">
        <v>1.6528925619834701E-2</v>
      </c>
      <c r="J30">
        <v>0.31404958677686001</v>
      </c>
      <c r="K30">
        <v>0.23140495867768601</v>
      </c>
      <c r="L30">
        <v>0.11570247933884301</v>
      </c>
      <c r="M30">
        <v>0</v>
      </c>
      <c r="N30">
        <v>3.3057851239669402E-2</v>
      </c>
      <c r="O30">
        <v>9.9173553719008295E-2</v>
      </c>
      <c r="P30">
        <v>0</v>
      </c>
      <c r="Q30">
        <v>1.6528925619834701E-2</v>
      </c>
      <c r="R30">
        <v>0</v>
      </c>
      <c r="S30">
        <v>1.6528925619834701E-2</v>
      </c>
      <c r="T30">
        <v>8.2644628099173598E-2</v>
      </c>
      <c r="U30">
        <v>0</v>
      </c>
      <c r="V30">
        <v>0</v>
      </c>
      <c r="W30">
        <v>0</v>
      </c>
      <c r="X30">
        <v>4.9586776859504099E-2</v>
      </c>
      <c r="Y30">
        <v>8.2644628099173598E-2</v>
      </c>
      <c r="Z30">
        <v>1.6528925619834701E-2</v>
      </c>
      <c r="AA30">
        <v>3.3057851239669402E-2</v>
      </c>
      <c r="AB30">
        <v>1.6528925619834701E-2</v>
      </c>
      <c r="AC30">
        <v>0</v>
      </c>
      <c r="AD30">
        <v>1.6528925619834701E-2</v>
      </c>
      <c r="AE30">
        <v>1.6528925619834701E-2</v>
      </c>
      <c r="AF30">
        <f t="shared" si="0"/>
        <v>1.3388429752066118</v>
      </c>
    </row>
    <row r="31" spans="1:32" x14ac:dyDescent="0.2">
      <c r="A31" t="s">
        <v>61</v>
      </c>
      <c r="B31">
        <v>0.72559366754617405</v>
      </c>
      <c r="C31">
        <v>6.5963060686015804E-2</v>
      </c>
      <c r="D31">
        <v>0</v>
      </c>
      <c r="E31">
        <v>0</v>
      </c>
      <c r="F31">
        <v>0</v>
      </c>
      <c r="G31">
        <v>0</v>
      </c>
      <c r="H31">
        <v>0.131926121372032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0.72559366754617405</v>
      </c>
      <c r="P31">
        <v>0</v>
      </c>
      <c r="Q31">
        <v>0</v>
      </c>
      <c r="R31">
        <v>6.5963060686015804E-2</v>
      </c>
      <c r="S31">
        <v>0</v>
      </c>
      <c r="T31">
        <v>0.19788918205804801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6.5963060686015804E-2</v>
      </c>
      <c r="AE31">
        <v>0</v>
      </c>
      <c r="AF31">
        <f t="shared" si="0"/>
        <v>1.2532981530343013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410E3-5074-9443-AB24-39C230E887F6}">
  <dimension ref="A1:AF31"/>
  <sheetViews>
    <sheetView workbookViewId="0">
      <selection activeCell="J34" sqref="J34"/>
    </sheetView>
  </sheetViews>
  <sheetFormatPr baseColWidth="10" defaultColWidth="11" defaultRowHeight="16" x14ac:dyDescent="0.2"/>
  <sheetData>
    <row r="1" spans="1:32" x14ac:dyDescent="0.2">
      <c r="A1" t="s">
        <v>31</v>
      </c>
      <c r="B1" t="s">
        <v>29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30</v>
      </c>
    </row>
    <row r="2" spans="1:32" x14ac:dyDescent="0.2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2E-3</v>
      </c>
      <c r="Y2">
        <v>4.0000000000000001E-3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6.0000000000000001E-3</v>
      </c>
    </row>
    <row r="3" spans="1:32" x14ac:dyDescent="0.2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4.5999999999999999E-3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3.5000000000000001E-3</v>
      </c>
      <c r="Y3">
        <v>6.3E-3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1.44E-2</v>
      </c>
    </row>
    <row r="4" spans="1:32" x14ac:dyDescent="0.2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6.4999999999999997E-3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6.4999999999999997E-3</v>
      </c>
    </row>
    <row r="5" spans="1:32" x14ac:dyDescent="0.2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1.04E-2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1.04E-2</v>
      </c>
    </row>
    <row r="6" spans="1:32" x14ac:dyDescent="0.2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9.7000000000000003E-3</v>
      </c>
      <c r="Z6">
        <v>0</v>
      </c>
      <c r="AA6">
        <v>0</v>
      </c>
      <c r="AB6">
        <v>0</v>
      </c>
      <c r="AC6">
        <v>1.5E-3</v>
      </c>
      <c r="AD6">
        <v>0</v>
      </c>
      <c r="AE6">
        <v>0</v>
      </c>
      <c r="AF6">
        <v>1.12E-2</v>
      </c>
    </row>
    <row r="7" spans="1:32" x14ac:dyDescent="0.2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7.6E-3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7.6E-3</v>
      </c>
    </row>
    <row r="8" spans="1:32" x14ac:dyDescent="0.2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4.8999999999999998E-3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1.2699999999999999E-2</v>
      </c>
      <c r="Y8">
        <v>5.8999999999999999E-3</v>
      </c>
      <c r="Z8">
        <v>0</v>
      </c>
      <c r="AA8">
        <v>0</v>
      </c>
      <c r="AB8">
        <v>0</v>
      </c>
      <c r="AC8">
        <v>1E-3</v>
      </c>
      <c r="AD8">
        <v>5.8999999999999999E-3</v>
      </c>
      <c r="AE8">
        <v>0</v>
      </c>
      <c r="AF8">
        <v>3.0399999999999996E-2</v>
      </c>
    </row>
    <row r="9" spans="1:32" x14ac:dyDescent="0.2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4.1999999999999997E-3</v>
      </c>
      <c r="L9">
        <v>0</v>
      </c>
      <c r="M9">
        <v>0</v>
      </c>
      <c r="N9">
        <v>5.1000000000000004E-3</v>
      </c>
      <c r="O9">
        <v>0</v>
      </c>
      <c r="P9">
        <v>0</v>
      </c>
      <c r="Q9">
        <v>0</v>
      </c>
      <c r="R9">
        <v>0</v>
      </c>
      <c r="S9">
        <v>0</v>
      </c>
      <c r="T9">
        <v>8.5000000000000006E-3</v>
      </c>
      <c r="U9">
        <v>0</v>
      </c>
      <c r="V9">
        <v>0</v>
      </c>
      <c r="W9">
        <v>8.5000000000000006E-3</v>
      </c>
      <c r="X9">
        <v>0</v>
      </c>
      <c r="Y9">
        <v>2.5399999999999999E-2</v>
      </c>
      <c r="Z9">
        <v>0</v>
      </c>
      <c r="AA9">
        <v>0</v>
      </c>
      <c r="AB9">
        <v>0</v>
      </c>
      <c r="AC9">
        <v>0</v>
      </c>
      <c r="AD9">
        <v>0</v>
      </c>
      <c r="AE9">
        <v>2.5000000000000001E-3</v>
      </c>
      <c r="AF9">
        <v>5.4199999999999998E-2</v>
      </c>
    </row>
    <row r="10" spans="1:32" x14ac:dyDescent="0.2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7.0000000000000001E-3</v>
      </c>
      <c r="J10">
        <v>0</v>
      </c>
      <c r="K10">
        <v>4.8999999999999998E-3</v>
      </c>
      <c r="L10">
        <v>4.1999999999999997E-3</v>
      </c>
      <c r="M10">
        <v>0</v>
      </c>
      <c r="N10">
        <v>4.8999999999999998E-3</v>
      </c>
      <c r="O10">
        <v>1.4E-3</v>
      </c>
      <c r="P10">
        <v>3.5000000000000001E-3</v>
      </c>
      <c r="Q10">
        <v>0</v>
      </c>
      <c r="R10">
        <v>0</v>
      </c>
      <c r="S10">
        <v>0</v>
      </c>
      <c r="T10">
        <v>2.0999999999999999E-3</v>
      </c>
      <c r="U10">
        <v>2.8E-3</v>
      </c>
      <c r="V10">
        <v>1.4E-3</v>
      </c>
      <c r="W10">
        <v>6.9999999999999999E-4</v>
      </c>
      <c r="X10">
        <v>4.8999999999999998E-3</v>
      </c>
      <c r="Y10">
        <v>5.1799999999999999E-2</v>
      </c>
      <c r="Z10">
        <v>4.8999999999999998E-3</v>
      </c>
      <c r="AA10">
        <v>1.4E-3</v>
      </c>
      <c r="AB10">
        <v>3.5000000000000001E-3</v>
      </c>
      <c r="AC10">
        <v>2.0999999999999999E-3</v>
      </c>
      <c r="AD10">
        <v>0</v>
      </c>
      <c r="AE10">
        <v>2.8E-3</v>
      </c>
      <c r="AF10">
        <v>0.1043</v>
      </c>
    </row>
    <row r="11" spans="1:32" x14ac:dyDescent="0.2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1.9E-3</v>
      </c>
      <c r="M11">
        <v>0</v>
      </c>
      <c r="N11">
        <v>0</v>
      </c>
      <c r="O11">
        <v>0</v>
      </c>
      <c r="P11">
        <v>0</v>
      </c>
      <c r="Q11">
        <v>1.9E-3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2.2499999999999999E-2</v>
      </c>
      <c r="Z11">
        <v>1.2999999999999999E-3</v>
      </c>
      <c r="AA11">
        <v>1.2999999999999999E-3</v>
      </c>
      <c r="AB11">
        <v>2.5999999999999999E-3</v>
      </c>
      <c r="AC11">
        <v>0</v>
      </c>
      <c r="AD11">
        <v>0</v>
      </c>
      <c r="AE11">
        <v>0</v>
      </c>
      <c r="AF11">
        <v>3.15E-2</v>
      </c>
    </row>
    <row r="12" spans="1:32" x14ac:dyDescent="0.2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1.47E-2</v>
      </c>
      <c r="Z12">
        <v>3.0999999999999999E-3</v>
      </c>
      <c r="AA12">
        <v>0</v>
      </c>
      <c r="AB12">
        <v>3.0999999999999999E-3</v>
      </c>
      <c r="AC12">
        <v>0</v>
      </c>
      <c r="AD12">
        <v>0</v>
      </c>
      <c r="AE12">
        <v>3.8999999999999998E-3</v>
      </c>
      <c r="AF12">
        <v>2.4799999999999999E-2</v>
      </c>
    </row>
    <row r="13" spans="1:32" x14ac:dyDescent="0.2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1.2999999999999999E-3</v>
      </c>
      <c r="J14">
        <v>0</v>
      </c>
      <c r="K14">
        <v>0</v>
      </c>
      <c r="L14">
        <v>0</v>
      </c>
      <c r="M14">
        <v>0</v>
      </c>
      <c r="N14">
        <v>6.4000000000000003E-3</v>
      </c>
      <c r="O14">
        <v>5.1000000000000004E-3</v>
      </c>
      <c r="P14">
        <v>0</v>
      </c>
      <c r="Q14">
        <v>0</v>
      </c>
      <c r="R14">
        <v>0</v>
      </c>
      <c r="S14">
        <v>0</v>
      </c>
      <c r="T14">
        <v>3.8E-3</v>
      </c>
      <c r="U14">
        <v>3.8E-3</v>
      </c>
      <c r="V14">
        <v>0</v>
      </c>
      <c r="W14">
        <v>0</v>
      </c>
      <c r="X14">
        <v>2.1600000000000001E-2</v>
      </c>
      <c r="Y14">
        <v>3.8100000000000002E-2</v>
      </c>
      <c r="Z14">
        <v>0</v>
      </c>
      <c r="AA14">
        <v>0</v>
      </c>
      <c r="AB14">
        <v>3.8E-3</v>
      </c>
      <c r="AC14">
        <v>3.8E-3</v>
      </c>
      <c r="AD14">
        <v>0</v>
      </c>
      <c r="AE14">
        <v>3.8E-3</v>
      </c>
      <c r="AF14">
        <v>9.1499999999999998E-2</v>
      </c>
    </row>
    <row r="15" spans="1:32" x14ac:dyDescent="0.2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1.9E-3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2.5999999999999999E-3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4.4999999999999997E-3</v>
      </c>
    </row>
    <row r="16" spans="1:32" x14ac:dyDescent="0.2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2.5999999999999999E-3</v>
      </c>
      <c r="J16">
        <v>0</v>
      </c>
      <c r="K16">
        <v>6.1000000000000004E-3</v>
      </c>
      <c r="L16">
        <v>8.9999999999999998E-4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3.5000000000000001E-3</v>
      </c>
      <c r="U16">
        <v>0</v>
      </c>
      <c r="V16">
        <v>0</v>
      </c>
      <c r="W16">
        <v>0</v>
      </c>
      <c r="X16">
        <v>5.1999999999999998E-3</v>
      </c>
      <c r="Y16">
        <v>1.49E-2</v>
      </c>
      <c r="Z16">
        <v>1.6999999999999999E-3</v>
      </c>
      <c r="AA16">
        <v>1.6999999999999999E-3</v>
      </c>
      <c r="AB16">
        <v>0</v>
      </c>
      <c r="AC16">
        <v>2.5999999999999999E-3</v>
      </c>
      <c r="AD16">
        <v>0</v>
      </c>
      <c r="AE16">
        <v>3.5000000000000001E-3</v>
      </c>
      <c r="AF16">
        <v>4.2699999999999995E-2</v>
      </c>
    </row>
    <row r="17" spans="1:32" x14ac:dyDescent="0.2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8.9999999999999998E-4</v>
      </c>
      <c r="J17">
        <v>0</v>
      </c>
      <c r="K17">
        <v>2.5999999999999999E-3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1.6999999999999999E-3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6.1000000000000004E-3</v>
      </c>
      <c r="AF17">
        <v>1.1300000000000001E-2</v>
      </c>
    </row>
    <row r="18" spans="1:32" x14ac:dyDescent="0.2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5.0000000000000001E-4</v>
      </c>
      <c r="M18">
        <v>0</v>
      </c>
      <c r="N18">
        <v>2.5000000000000001E-3</v>
      </c>
      <c r="O18">
        <v>0</v>
      </c>
      <c r="P18">
        <v>5.0000000000000001E-4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2.5000000000000001E-3</v>
      </c>
      <c r="Y18">
        <v>1.2200000000000001E-2</v>
      </c>
      <c r="Z18">
        <v>2.5000000000000001E-3</v>
      </c>
      <c r="AA18">
        <v>0</v>
      </c>
      <c r="AB18">
        <v>0</v>
      </c>
      <c r="AC18">
        <v>1E-3</v>
      </c>
      <c r="AD18">
        <v>2E-3</v>
      </c>
      <c r="AE18">
        <v>0</v>
      </c>
      <c r="AF18">
        <v>2.3699999999999999E-2</v>
      </c>
    </row>
    <row r="19" spans="1:32" x14ac:dyDescent="0.2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1.5100000000000001E-2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1.5100000000000001E-2</v>
      </c>
    </row>
    <row r="20" spans="1:32" x14ac:dyDescent="0.2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6.9999999999999999E-4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5.0000000000000001E-3</v>
      </c>
      <c r="Z20">
        <v>0</v>
      </c>
      <c r="AA20">
        <v>0</v>
      </c>
      <c r="AB20">
        <v>0</v>
      </c>
      <c r="AC20">
        <v>6.9999999999999999E-4</v>
      </c>
      <c r="AD20">
        <v>0</v>
      </c>
      <c r="AE20">
        <v>0</v>
      </c>
      <c r="AF20">
        <v>6.4000000000000003E-3</v>
      </c>
    </row>
    <row r="21" spans="1:32" x14ac:dyDescent="0.2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5.4000000000000003E-3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5.4000000000000003E-3</v>
      </c>
    </row>
    <row r="22" spans="1:32" x14ac:dyDescent="0.2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1.9E-3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5.0000000000000001E-4</v>
      </c>
      <c r="U22">
        <v>2.8E-3</v>
      </c>
      <c r="V22">
        <v>0</v>
      </c>
      <c r="W22">
        <v>0</v>
      </c>
      <c r="X22">
        <v>3.2000000000000002E-3</v>
      </c>
      <c r="Y22">
        <v>8.3999999999999995E-3</v>
      </c>
      <c r="Z22">
        <v>8.9999999999999998E-4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1.77E-2</v>
      </c>
    </row>
    <row r="23" spans="1:32" x14ac:dyDescent="0.2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4.4999999999999997E-3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4.4999999999999997E-3</v>
      </c>
    </row>
    <row r="24" spans="1:32" x14ac:dyDescent="0.2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1.2999999999999999E-3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2.9999999999999997E-4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1.5999999999999999E-3</v>
      </c>
    </row>
    <row r="25" spans="1:32" x14ac:dyDescent="0.2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1.2999999999999999E-3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7.1000000000000004E-3</v>
      </c>
      <c r="Z25">
        <v>0</v>
      </c>
      <c r="AA25">
        <v>0</v>
      </c>
      <c r="AB25">
        <v>0</v>
      </c>
      <c r="AC25">
        <v>1.2999999999999999E-3</v>
      </c>
      <c r="AD25">
        <v>0</v>
      </c>
      <c r="AE25">
        <v>8.0000000000000004E-4</v>
      </c>
      <c r="AF25">
        <v>1.0500000000000001E-2</v>
      </c>
    </row>
    <row r="26" spans="1:32" x14ac:dyDescent="0.2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1.1999999999999999E-3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4.8999999999999998E-3</v>
      </c>
      <c r="Y26">
        <v>4.8999999999999998E-3</v>
      </c>
      <c r="Z26">
        <v>0</v>
      </c>
      <c r="AA26">
        <v>0</v>
      </c>
      <c r="AB26">
        <v>4.0000000000000002E-4</v>
      </c>
      <c r="AC26">
        <v>0</v>
      </c>
      <c r="AD26">
        <v>0</v>
      </c>
      <c r="AE26">
        <v>0</v>
      </c>
      <c r="AF26">
        <v>1.1399999999999999E-2</v>
      </c>
    </row>
    <row r="27" spans="1:32" x14ac:dyDescent="0.2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3.3999999999999998E-3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3.3999999999999998E-3</v>
      </c>
    </row>
    <row r="28" spans="1:32" x14ac:dyDescent="0.2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2.5000000000000001E-3</v>
      </c>
      <c r="J28">
        <v>0</v>
      </c>
      <c r="K28">
        <v>0</v>
      </c>
      <c r="L28">
        <v>8.0000000000000004E-4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3.3E-3</v>
      </c>
      <c r="U28">
        <v>4.1999999999999997E-3</v>
      </c>
      <c r="V28">
        <v>0</v>
      </c>
      <c r="W28">
        <v>0</v>
      </c>
      <c r="X28">
        <v>6.7000000000000002E-3</v>
      </c>
      <c r="Y28">
        <v>4.7600000000000003E-2</v>
      </c>
      <c r="Z28">
        <v>5.0000000000000001E-3</v>
      </c>
      <c r="AA28">
        <v>0</v>
      </c>
      <c r="AB28">
        <v>0</v>
      </c>
      <c r="AC28">
        <v>0</v>
      </c>
      <c r="AD28">
        <v>0</v>
      </c>
      <c r="AE28">
        <v>5.7999999999999996E-3</v>
      </c>
      <c r="AF28">
        <v>7.5900000000000009E-2</v>
      </c>
    </row>
    <row r="29" spans="1:32" x14ac:dyDescent="0.2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2.8999999999999998E-3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1.8E-3</v>
      </c>
      <c r="V29">
        <v>0</v>
      </c>
      <c r="W29">
        <v>0.01</v>
      </c>
      <c r="X29">
        <v>0</v>
      </c>
      <c r="Y29">
        <v>2.5899999999999999E-2</v>
      </c>
      <c r="Z29">
        <v>1.8E-3</v>
      </c>
      <c r="AA29">
        <v>0</v>
      </c>
      <c r="AB29">
        <v>1.1999999999999999E-3</v>
      </c>
      <c r="AC29">
        <v>0</v>
      </c>
      <c r="AD29">
        <v>0</v>
      </c>
      <c r="AE29">
        <v>4.7000000000000002E-3</v>
      </c>
      <c r="AF29">
        <v>4.8300000000000003E-2</v>
      </c>
    </row>
    <row r="30" spans="1:32" x14ac:dyDescent="0.2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1.2200000000000001E-2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1.2200000000000001E-2</v>
      </c>
    </row>
    <row r="31" spans="1:32" x14ac:dyDescent="0.2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4.8999999999999998E-3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4.8999999999999998E-3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DDF0A-C462-5243-9CDF-127C38456EFD}">
  <dimension ref="A1:AF31"/>
  <sheetViews>
    <sheetView workbookViewId="0"/>
  </sheetViews>
  <sheetFormatPr baseColWidth="10" defaultRowHeight="16" x14ac:dyDescent="0.2"/>
  <sheetData>
    <row r="1" spans="1:32" x14ac:dyDescent="0.2">
      <c r="A1" t="s">
        <v>31</v>
      </c>
      <c r="B1" t="s">
        <v>29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30</v>
      </c>
    </row>
    <row r="2" spans="1:32" x14ac:dyDescent="0.2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8.9999999999999998E-4</v>
      </c>
      <c r="R2">
        <v>0</v>
      </c>
      <c r="S2">
        <v>0</v>
      </c>
      <c r="T2">
        <v>1.8E-3</v>
      </c>
      <c r="U2">
        <v>0</v>
      </c>
      <c r="V2">
        <v>0</v>
      </c>
      <c r="W2">
        <v>0</v>
      </c>
      <c r="X2">
        <v>2.7000000000000001E-3</v>
      </c>
      <c r="Y2">
        <v>5.3E-3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1.0700000000000001E-2</v>
      </c>
    </row>
    <row r="3" spans="1:32" x14ac:dyDescent="0.2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6.3E-3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1.9E-3</v>
      </c>
      <c r="Y3">
        <v>8.5000000000000006E-3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1.67E-2</v>
      </c>
    </row>
    <row r="4" spans="1:32" x14ac:dyDescent="0.2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8.0000000000000002E-3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8.0000000000000002E-3</v>
      </c>
    </row>
    <row r="5" spans="1:32" x14ac:dyDescent="0.2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1.49E-2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1.49E-2</v>
      </c>
    </row>
    <row r="6" spans="1:32" x14ac:dyDescent="0.2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8.9999999999999998E-4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1.2200000000000001E-2</v>
      </c>
      <c r="Z6">
        <v>0</v>
      </c>
      <c r="AA6">
        <v>0</v>
      </c>
      <c r="AB6">
        <v>0</v>
      </c>
      <c r="AC6">
        <v>1.9E-3</v>
      </c>
      <c r="AD6">
        <v>0</v>
      </c>
      <c r="AE6">
        <v>0</v>
      </c>
      <c r="AF6">
        <v>1.5000000000000001E-2</v>
      </c>
    </row>
    <row r="7" spans="1:32" x14ac:dyDescent="0.2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1.0200000000000001E-2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1.0200000000000001E-2</v>
      </c>
    </row>
    <row r="8" spans="1:32" x14ac:dyDescent="0.2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5.3E-3</v>
      </c>
      <c r="O8">
        <v>1.1000000000000001E-3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3.2000000000000002E-3</v>
      </c>
      <c r="Y8">
        <v>6.4000000000000003E-3</v>
      </c>
      <c r="Z8">
        <v>2.0999999999999999E-3</v>
      </c>
      <c r="AA8">
        <v>0</v>
      </c>
      <c r="AB8">
        <v>0</v>
      </c>
      <c r="AC8">
        <v>1.1000000000000001E-3</v>
      </c>
      <c r="AD8">
        <v>6.4000000000000003E-3</v>
      </c>
      <c r="AE8">
        <v>0</v>
      </c>
      <c r="AF8">
        <v>2.5600000000000001E-2</v>
      </c>
    </row>
    <row r="9" spans="1:32" x14ac:dyDescent="0.2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5.3E-3</v>
      </c>
      <c r="L9">
        <v>0</v>
      </c>
      <c r="M9">
        <v>0</v>
      </c>
      <c r="N9">
        <v>4.3E-3</v>
      </c>
      <c r="O9">
        <v>0</v>
      </c>
      <c r="P9">
        <v>0</v>
      </c>
      <c r="Q9">
        <v>0</v>
      </c>
      <c r="R9">
        <v>2.0999999999999999E-3</v>
      </c>
      <c r="S9">
        <v>0</v>
      </c>
      <c r="T9">
        <v>1.0699999999999999E-2</v>
      </c>
      <c r="U9">
        <v>0</v>
      </c>
      <c r="V9">
        <v>0</v>
      </c>
      <c r="W9">
        <v>1.0699999999999999E-2</v>
      </c>
      <c r="X9">
        <v>0</v>
      </c>
      <c r="Y9">
        <v>3.2000000000000001E-2</v>
      </c>
      <c r="Z9">
        <v>0</v>
      </c>
      <c r="AA9">
        <v>0</v>
      </c>
      <c r="AB9">
        <v>2.0999999999999999E-3</v>
      </c>
      <c r="AC9">
        <v>0</v>
      </c>
      <c r="AD9">
        <v>0</v>
      </c>
      <c r="AE9">
        <v>3.2000000000000002E-3</v>
      </c>
      <c r="AF9">
        <v>7.039999999999999E-2</v>
      </c>
    </row>
    <row r="10" spans="1:32" x14ac:dyDescent="0.2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9.4999999999999998E-3</v>
      </c>
      <c r="J10">
        <v>0</v>
      </c>
      <c r="K10">
        <v>5.7000000000000002E-3</v>
      </c>
      <c r="L10">
        <v>5.7000000000000002E-3</v>
      </c>
      <c r="M10">
        <v>0</v>
      </c>
      <c r="N10">
        <v>6.6E-3</v>
      </c>
      <c r="O10">
        <v>8.9999999999999998E-4</v>
      </c>
      <c r="P10">
        <v>3.8E-3</v>
      </c>
      <c r="Q10">
        <v>0</v>
      </c>
      <c r="R10">
        <v>8.9999999999999998E-4</v>
      </c>
      <c r="S10">
        <v>8.9999999999999998E-4</v>
      </c>
      <c r="T10">
        <v>2.8E-3</v>
      </c>
      <c r="U10">
        <v>3.8E-3</v>
      </c>
      <c r="V10">
        <v>1.9E-3</v>
      </c>
      <c r="W10">
        <v>8.9999999999999998E-4</v>
      </c>
      <c r="X10">
        <v>8.9999999999999998E-4</v>
      </c>
      <c r="Y10">
        <v>7.0199999999999999E-2</v>
      </c>
      <c r="Z10">
        <v>6.6E-3</v>
      </c>
      <c r="AA10">
        <v>1.9E-3</v>
      </c>
      <c r="AB10">
        <v>4.7000000000000002E-3</v>
      </c>
      <c r="AC10">
        <v>1.9E-3</v>
      </c>
      <c r="AD10">
        <v>0</v>
      </c>
      <c r="AE10">
        <v>3.8E-3</v>
      </c>
      <c r="AF10">
        <v>0.13339999999999999</v>
      </c>
    </row>
    <row r="11" spans="1:32" x14ac:dyDescent="0.2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2.5999999999999999E-3</v>
      </c>
      <c r="M11">
        <v>0</v>
      </c>
      <c r="N11">
        <v>0</v>
      </c>
      <c r="O11">
        <v>0</v>
      </c>
      <c r="P11">
        <v>0</v>
      </c>
      <c r="Q11">
        <v>8.9999999999999998E-4</v>
      </c>
      <c r="R11">
        <v>8.9999999999999998E-4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0.03</v>
      </c>
      <c r="Z11">
        <v>1.6999999999999999E-3</v>
      </c>
      <c r="AA11">
        <v>1.6999999999999999E-3</v>
      </c>
      <c r="AB11">
        <v>3.3999999999999998E-3</v>
      </c>
      <c r="AC11">
        <v>8.9999999999999998E-4</v>
      </c>
      <c r="AD11">
        <v>0</v>
      </c>
      <c r="AE11">
        <v>0</v>
      </c>
      <c r="AF11">
        <v>4.2099999999999999E-2</v>
      </c>
    </row>
    <row r="12" spans="1:32" x14ac:dyDescent="0.2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1.1000000000000001E-3</v>
      </c>
      <c r="L12">
        <v>0</v>
      </c>
      <c r="M12">
        <v>0</v>
      </c>
      <c r="N12">
        <v>1.1000000000000001E-3</v>
      </c>
      <c r="O12">
        <v>0</v>
      </c>
      <c r="P12">
        <v>0</v>
      </c>
      <c r="Q12">
        <v>0</v>
      </c>
      <c r="R12">
        <v>0</v>
      </c>
      <c r="S12">
        <v>0</v>
      </c>
      <c r="T12">
        <v>1.1000000000000001E-3</v>
      </c>
      <c r="U12">
        <v>0</v>
      </c>
      <c r="V12">
        <v>0</v>
      </c>
      <c r="W12">
        <v>0</v>
      </c>
      <c r="X12">
        <v>0</v>
      </c>
      <c r="Y12">
        <v>2.12E-2</v>
      </c>
      <c r="Z12">
        <v>4.4999999999999997E-3</v>
      </c>
      <c r="AA12">
        <v>0</v>
      </c>
      <c r="AB12">
        <v>4.4999999999999997E-3</v>
      </c>
      <c r="AC12">
        <v>0</v>
      </c>
      <c r="AD12">
        <v>0</v>
      </c>
      <c r="AE12">
        <v>5.5999999999999999E-3</v>
      </c>
      <c r="AF12">
        <v>3.9100000000000003E-2</v>
      </c>
    </row>
    <row r="13" spans="1:32" x14ac:dyDescent="0.2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1.4E-3</v>
      </c>
      <c r="J14">
        <v>0</v>
      </c>
      <c r="K14">
        <v>2.8E-3</v>
      </c>
      <c r="L14">
        <v>0</v>
      </c>
      <c r="M14">
        <v>0</v>
      </c>
      <c r="N14">
        <v>8.5000000000000006E-3</v>
      </c>
      <c r="O14">
        <v>5.5999999999999999E-3</v>
      </c>
      <c r="P14">
        <v>0</v>
      </c>
      <c r="Q14">
        <v>1.4E-3</v>
      </c>
      <c r="R14">
        <v>0</v>
      </c>
      <c r="S14">
        <v>0</v>
      </c>
      <c r="T14">
        <v>4.1999999999999997E-3</v>
      </c>
      <c r="U14">
        <v>4.1999999999999997E-3</v>
      </c>
      <c r="V14">
        <v>0</v>
      </c>
      <c r="W14">
        <v>0</v>
      </c>
      <c r="X14">
        <v>1.41E-2</v>
      </c>
      <c r="Y14">
        <v>4.2299999999999997E-2</v>
      </c>
      <c r="Z14">
        <v>0</v>
      </c>
      <c r="AA14">
        <v>0</v>
      </c>
      <c r="AB14">
        <v>4.1999999999999997E-3</v>
      </c>
      <c r="AC14">
        <v>4.1999999999999997E-3</v>
      </c>
      <c r="AD14">
        <v>0</v>
      </c>
      <c r="AE14">
        <v>4.1999999999999997E-3</v>
      </c>
      <c r="AF14">
        <v>9.7099999999999978E-2</v>
      </c>
    </row>
    <row r="15" spans="1:32" x14ac:dyDescent="0.2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2.7000000000000001E-3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3.5999999999999999E-3</v>
      </c>
      <c r="Z15">
        <v>0</v>
      </c>
      <c r="AA15">
        <v>8.9999999999999998E-4</v>
      </c>
      <c r="AB15">
        <v>0</v>
      </c>
      <c r="AC15">
        <v>0</v>
      </c>
      <c r="AD15">
        <v>0</v>
      </c>
      <c r="AE15">
        <v>0</v>
      </c>
      <c r="AF15">
        <v>7.1999999999999998E-3</v>
      </c>
    </row>
    <row r="16" spans="1:32" x14ac:dyDescent="0.2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3.5999999999999999E-3</v>
      </c>
      <c r="J16">
        <v>0</v>
      </c>
      <c r="K16">
        <v>8.3000000000000001E-3</v>
      </c>
      <c r="L16">
        <v>1.1999999999999999E-3</v>
      </c>
      <c r="M16">
        <v>0</v>
      </c>
      <c r="N16">
        <v>0</v>
      </c>
      <c r="O16">
        <v>2.3999999999999998E-3</v>
      </c>
      <c r="P16">
        <v>0</v>
      </c>
      <c r="Q16">
        <v>0</v>
      </c>
      <c r="R16">
        <v>0</v>
      </c>
      <c r="S16">
        <v>0</v>
      </c>
      <c r="T16">
        <v>5.8999999999999999E-3</v>
      </c>
      <c r="U16">
        <v>0</v>
      </c>
      <c r="V16">
        <v>0</v>
      </c>
      <c r="W16">
        <v>0</v>
      </c>
      <c r="X16">
        <v>4.7000000000000002E-3</v>
      </c>
      <c r="Y16">
        <v>2.01E-2</v>
      </c>
      <c r="Z16">
        <v>2.3999999999999998E-3</v>
      </c>
      <c r="AA16">
        <v>2.3999999999999998E-3</v>
      </c>
      <c r="AB16">
        <v>1.1999999999999999E-3</v>
      </c>
      <c r="AC16">
        <v>3.5999999999999999E-3</v>
      </c>
      <c r="AD16">
        <v>0</v>
      </c>
      <c r="AE16">
        <v>4.7000000000000002E-3</v>
      </c>
      <c r="AF16">
        <v>6.0499999999999998E-2</v>
      </c>
    </row>
    <row r="17" spans="1:32" x14ac:dyDescent="0.2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1.1999999999999999E-3</v>
      </c>
      <c r="J17">
        <v>0</v>
      </c>
      <c r="K17">
        <v>3.7000000000000002E-3</v>
      </c>
      <c r="L17">
        <v>0</v>
      </c>
      <c r="M17">
        <v>0</v>
      </c>
      <c r="N17">
        <v>1.1999999999999999E-3</v>
      </c>
      <c r="O17">
        <v>2.5000000000000001E-3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3.7000000000000002E-3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8.6E-3</v>
      </c>
      <c r="AF17">
        <v>2.0900000000000002E-2</v>
      </c>
    </row>
    <row r="18" spans="1:32" x14ac:dyDescent="0.2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6.9999999999999999E-4</v>
      </c>
      <c r="M18">
        <v>0</v>
      </c>
      <c r="N18">
        <v>3.5000000000000001E-3</v>
      </c>
      <c r="O18">
        <v>1.4E-3</v>
      </c>
      <c r="P18">
        <v>6.9999999999999999E-4</v>
      </c>
      <c r="Q18">
        <v>0</v>
      </c>
      <c r="R18">
        <v>0</v>
      </c>
      <c r="S18">
        <v>6.9999999999999999E-4</v>
      </c>
      <c r="T18">
        <v>0</v>
      </c>
      <c r="U18">
        <v>0</v>
      </c>
      <c r="V18">
        <v>0</v>
      </c>
      <c r="W18">
        <v>0</v>
      </c>
      <c r="X18">
        <v>1.4E-3</v>
      </c>
      <c r="Y18">
        <v>1.4E-2</v>
      </c>
      <c r="Z18">
        <v>3.5000000000000001E-3</v>
      </c>
      <c r="AA18">
        <v>1.4E-3</v>
      </c>
      <c r="AB18">
        <v>0</v>
      </c>
      <c r="AC18">
        <v>1.4E-3</v>
      </c>
      <c r="AD18">
        <v>2.8E-3</v>
      </c>
      <c r="AE18">
        <v>1.4E-3</v>
      </c>
      <c r="AF18">
        <v>3.2899999999999992E-2</v>
      </c>
    </row>
    <row r="19" spans="1:32" x14ac:dyDescent="0.2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2.3599999999999999E-2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2.3599999999999999E-2</v>
      </c>
    </row>
    <row r="20" spans="1:32" x14ac:dyDescent="0.2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8.9999999999999998E-4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6.0000000000000001E-3</v>
      </c>
      <c r="Z20">
        <v>0</v>
      </c>
      <c r="AA20">
        <v>0</v>
      </c>
      <c r="AB20">
        <v>0</v>
      </c>
      <c r="AC20">
        <v>8.9999999999999998E-4</v>
      </c>
      <c r="AD20">
        <v>0</v>
      </c>
      <c r="AE20">
        <v>0</v>
      </c>
      <c r="AF20">
        <v>7.7999999999999996E-3</v>
      </c>
    </row>
    <row r="21" spans="1:32" x14ac:dyDescent="0.2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6.9999999999999999E-4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6.6E-3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7.3000000000000001E-3</v>
      </c>
    </row>
    <row r="22" spans="1:32" x14ac:dyDescent="0.2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2.7000000000000001E-3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6.9999999999999999E-4</v>
      </c>
      <c r="U22">
        <v>4.0000000000000001E-3</v>
      </c>
      <c r="V22">
        <v>0</v>
      </c>
      <c r="W22">
        <v>0</v>
      </c>
      <c r="X22">
        <v>0</v>
      </c>
      <c r="Y22">
        <v>1.1900000000000001E-2</v>
      </c>
      <c r="Z22">
        <v>1.2999999999999999E-3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2.06E-2</v>
      </c>
    </row>
    <row r="23" spans="1:32" x14ac:dyDescent="0.2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1.1999999999999999E-3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6.0000000000000001E-3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7.1999999999999998E-3</v>
      </c>
    </row>
    <row r="24" spans="1:32" x14ac:dyDescent="0.2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1.9E-3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5.0000000000000001E-4</v>
      </c>
      <c r="Z24">
        <v>0</v>
      </c>
      <c r="AA24">
        <v>0</v>
      </c>
      <c r="AB24">
        <v>5.0000000000000001E-4</v>
      </c>
      <c r="AC24">
        <v>0</v>
      </c>
      <c r="AD24">
        <v>0</v>
      </c>
      <c r="AE24">
        <v>0</v>
      </c>
      <c r="AF24">
        <v>2.9000000000000002E-3</v>
      </c>
    </row>
    <row r="25" spans="1:32" x14ac:dyDescent="0.2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1.6000000000000001E-3</v>
      </c>
      <c r="L25">
        <v>1.1000000000000001E-3</v>
      </c>
      <c r="M25">
        <v>0</v>
      </c>
      <c r="N25">
        <v>5.0000000000000001E-4</v>
      </c>
      <c r="O25">
        <v>0</v>
      </c>
      <c r="P25">
        <v>1.1000000000000001E-3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9.1000000000000004E-3</v>
      </c>
      <c r="Z25">
        <v>0</v>
      </c>
      <c r="AA25">
        <v>0</v>
      </c>
      <c r="AB25">
        <v>0</v>
      </c>
      <c r="AC25">
        <v>1.6000000000000001E-3</v>
      </c>
      <c r="AD25">
        <v>0</v>
      </c>
      <c r="AE25">
        <v>1.1000000000000001E-3</v>
      </c>
      <c r="AF25">
        <v>1.61E-2</v>
      </c>
    </row>
    <row r="26" spans="1:32" x14ac:dyDescent="0.2">
      <c r="A26" t="s">
        <v>101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2.3999999999999998E-3</v>
      </c>
      <c r="L26">
        <v>0</v>
      </c>
      <c r="M26">
        <v>0</v>
      </c>
      <c r="N26">
        <v>0</v>
      </c>
      <c r="O26">
        <v>1.5E-3</v>
      </c>
      <c r="P26">
        <v>0</v>
      </c>
      <c r="Q26">
        <v>0</v>
      </c>
      <c r="R26">
        <v>0</v>
      </c>
      <c r="S26">
        <v>0</v>
      </c>
      <c r="T26">
        <v>1E-3</v>
      </c>
      <c r="U26">
        <v>0</v>
      </c>
      <c r="V26">
        <v>0</v>
      </c>
      <c r="W26">
        <v>0</v>
      </c>
      <c r="X26">
        <v>1.5E-3</v>
      </c>
      <c r="Y26">
        <v>5.8999999999999999E-3</v>
      </c>
      <c r="Z26">
        <v>0</v>
      </c>
      <c r="AA26">
        <v>0</v>
      </c>
      <c r="AB26">
        <v>5.0000000000000001E-4</v>
      </c>
      <c r="AC26">
        <v>0</v>
      </c>
      <c r="AD26">
        <v>0</v>
      </c>
      <c r="AE26">
        <v>0</v>
      </c>
      <c r="AF26">
        <v>1.2799999999999999E-2</v>
      </c>
    </row>
    <row r="27" spans="1:32" x14ac:dyDescent="0.2">
      <c r="A27" t="s">
        <v>102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4.5999999999999999E-3</v>
      </c>
      <c r="Z27">
        <v>1.1000000000000001E-3</v>
      </c>
      <c r="AA27">
        <v>0</v>
      </c>
      <c r="AB27">
        <v>0</v>
      </c>
      <c r="AC27">
        <v>0</v>
      </c>
      <c r="AD27">
        <v>0</v>
      </c>
      <c r="AE27">
        <v>1.1000000000000001E-3</v>
      </c>
      <c r="AF27">
        <v>6.8000000000000005E-3</v>
      </c>
    </row>
    <row r="28" spans="1:32" x14ac:dyDescent="0.2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2.8999999999999998E-3</v>
      </c>
      <c r="J28">
        <v>0</v>
      </c>
      <c r="K28">
        <v>1E-3</v>
      </c>
      <c r="L28">
        <v>1E-3</v>
      </c>
      <c r="M28">
        <v>0</v>
      </c>
      <c r="N28">
        <v>0</v>
      </c>
      <c r="O28">
        <v>0</v>
      </c>
      <c r="P28">
        <v>0</v>
      </c>
      <c r="Q28">
        <v>1.9E-3</v>
      </c>
      <c r="R28">
        <v>0</v>
      </c>
      <c r="S28">
        <v>1.9E-3</v>
      </c>
      <c r="T28">
        <v>3.8E-3</v>
      </c>
      <c r="U28">
        <v>4.7999999999999996E-3</v>
      </c>
      <c r="V28">
        <v>0</v>
      </c>
      <c r="W28">
        <v>0</v>
      </c>
      <c r="X28">
        <v>2.8999999999999998E-3</v>
      </c>
      <c r="Y28">
        <v>5.4300000000000001E-2</v>
      </c>
      <c r="Z28">
        <v>5.7000000000000002E-3</v>
      </c>
      <c r="AA28">
        <v>1E-3</v>
      </c>
      <c r="AB28">
        <v>0</v>
      </c>
      <c r="AC28">
        <v>0</v>
      </c>
      <c r="AD28">
        <v>0</v>
      </c>
      <c r="AE28">
        <v>6.7000000000000002E-3</v>
      </c>
      <c r="AF28">
        <v>8.7899999999999992E-2</v>
      </c>
    </row>
    <row r="29" spans="1:32" x14ac:dyDescent="0.2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3.8E-3</v>
      </c>
      <c r="O29">
        <v>0</v>
      </c>
      <c r="P29">
        <v>0</v>
      </c>
      <c r="Q29">
        <v>1.5E-3</v>
      </c>
      <c r="R29">
        <v>0</v>
      </c>
      <c r="S29">
        <v>0</v>
      </c>
      <c r="T29">
        <v>8.0000000000000004E-4</v>
      </c>
      <c r="U29">
        <v>1.5E-3</v>
      </c>
      <c r="V29">
        <v>0</v>
      </c>
      <c r="W29">
        <v>1.2999999999999999E-2</v>
      </c>
      <c r="X29">
        <v>0</v>
      </c>
      <c r="Y29">
        <v>3.3599999999999998E-2</v>
      </c>
      <c r="Z29">
        <v>2.3E-3</v>
      </c>
      <c r="AA29">
        <v>0</v>
      </c>
      <c r="AB29">
        <v>1.5E-3</v>
      </c>
      <c r="AC29">
        <v>0</v>
      </c>
      <c r="AD29">
        <v>0</v>
      </c>
      <c r="AE29">
        <v>6.1000000000000004E-3</v>
      </c>
      <c r="AF29">
        <v>6.409999999999999E-2</v>
      </c>
    </row>
    <row r="30" spans="1:32" x14ac:dyDescent="0.2">
      <c r="A30" t="s">
        <v>103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1E-3</v>
      </c>
      <c r="U30">
        <v>0</v>
      </c>
      <c r="V30">
        <v>0</v>
      </c>
      <c r="W30">
        <v>0</v>
      </c>
      <c r="X30">
        <v>0</v>
      </c>
      <c r="Y30">
        <v>1.5800000000000002E-2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1.6800000000000002E-2</v>
      </c>
    </row>
    <row r="31" spans="1:32" x14ac:dyDescent="0.2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6.4000000000000003E-3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6.4000000000000003E-3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C2FCE-1112-8E46-9A7E-340266F4C6CB}">
  <dimension ref="A1:E31"/>
  <sheetViews>
    <sheetView workbookViewId="0"/>
  </sheetViews>
  <sheetFormatPr baseColWidth="10" defaultRowHeight="16" x14ac:dyDescent="0.2"/>
  <cols>
    <col min="2" max="4" width="15.5" bestFit="1" customWidth="1"/>
  </cols>
  <sheetData>
    <row r="1" spans="1:5" x14ac:dyDescent="0.2">
      <c r="A1" t="s">
        <v>104</v>
      </c>
      <c r="B1" t="s">
        <v>8</v>
      </c>
      <c r="C1" t="s">
        <v>17</v>
      </c>
      <c r="D1" t="s">
        <v>22</v>
      </c>
      <c r="E1" t="s">
        <v>30</v>
      </c>
    </row>
    <row r="2" spans="1:5" x14ac:dyDescent="0.2">
      <c r="A2" t="s">
        <v>32</v>
      </c>
      <c r="B2">
        <v>49</v>
      </c>
      <c r="C2">
        <v>30</v>
      </c>
      <c r="D2">
        <v>18</v>
      </c>
      <c r="E2">
        <v>236</v>
      </c>
    </row>
    <row r="3" spans="1:5" x14ac:dyDescent="0.2">
      <c r="A3" t="s">
        <v>33</v>
      </c>
      <c r="B3">
        <v>160</v>
      </c>
      <c r="C3">
        <v>92</v>
      </c>
      <c r="D3">
        <v>163</v>
      </c>
      <c r="E3">
        <v>1327</v>
      </c>
    </row>
    <row r="4" spans="1:5" x14ac:dyDescent="0.2">
      <c r="A4" t="s">
        <v>34</v>
      </c>
      <c r="B4">
        <v>16</v>
      </c>
      <c r="C4">
        <v>21</v>
      </c>
      <c r="D4">
        <v>14</v>
      </c>
      <c r="E4">
        <v>711</v>
      </c>
    </row>
    <row r="5" spans="1:5" x14ac:dyDescent="0.2">
      <c r="A5" t="s">
        <v>35</v>
      </c>
      <c r="B5">
        <v>20</v>
      </c>
      <c r="C5">
        <v>3</v>
      </c>
      <c r="D5">
        <v>7</v>
      </c>
      <c r="E5">
        <v>73</v>
      </c>
    </row>
    <row r="6" spans="1:5" x14ac:dyDescent="0.2">
      <c r="A6" t="s">
        <v>36</v>
      </c>
      <c r="B6">
        <v>39</v>
      </c>
      <c r="C6">
        <v>13</v>
      </c>
      <c r="D6">
        <v>17</v>
      </c>
      <c r="E6">
        <v>237</v>
      </c>
    </row>
    <row r="7" spans="1:5" x14ac:dyDescent="0.2">
      <c r="A7" t="s">
        <v>37</v>
      </c>
      <c r="B7">
        <v>18</v>
      </c>
      <c r="C7">
        <v>8</v>
      </c>
      <c r="D7">
        <v>15</v>
      </c>
      <c r="E7">
        <v>123</v>
      </c>
    </row>
    <row r="8" spans="1:5" x14ac:dyDescent="0.2">
      <c r="A8" t="s">
        <v>38</v>
      </c>
      <c r="B8">
        <v>45</v>
      </c>
      <c r="C8">
        <v>23</v>
      </c>
      <c r="D8">
        <v>25</v>
      </c>
      <c r="E8">
        <v>498</v>
      </c>
    </row>
    <row r="9" spans="1:5" x14ac:dyDescent="0.2">
      <c r="A9" t="s">
        <v>39</v>
      </c>
      <c r="B9">
        <v>199</v>
      </c>
      <c r="C9">
        <v>188</v>
      </c>
      <c r="D9">
        <v>241</v>
      </c>
      <c r="E9">
        <v>1544</v>
      </c>
    </row>
    <row r="10" spans="1:5" x14ac:dyDescent="0.2">
      <c r="A10" t="s">
        <v>40</v>
      </c>
      <c r="B10">
        <v>29</v>
      </c>
      <c r="C10">
        <v>13</v>
      </c>
      <c r="D10">
        <v>33</v>
      </c>
      <c r="E10">
        <v>245</v>
      </c>
    </row>
    <row r="11" spans="1:5" x14ac:dyDescent="0.2">
      <c r="A11" t="s">
        <v>41</v>
      </c>
      <c r="B11">
        <v>291</v>
      </c>
      <c r="C11">
        <v>91</v>
      </c>
      <c r="D11">
        <v>230</v>
      </c>
      <c r="E11">
        <v>1787</v>
      </c>
    </row>
    <row r="12" spans="1:5" x14ac:dyDescent="0.2">
      <c r="A12" t="s">
        <v>42</v>
      </c>
      <c r="B12">
        <v>239</v>
      </c>
      <c r="C12">
        <v>145</v>
      </c>
      <c r="D12">
        <v>272</v>
      </c>
      <c r="E12">
        <v>2073</v>
      </c>
    </row>
    <row r="13" spans="1:5" x14ac:dyDescent="0.2">
      <c r="A13" t="s">
        <v>43</v>
      </c>
      <c r="B13">
        <v>12</v>
      </c>
      <c r="C13">
        <v>2</v>
      </c>
      <c r="D13">
        <v>2</v>
      </c>
      <c r="E13">
        <v>91</v>
      </c>
    </row>
    <row r="14" spans="1:5" x14ac:dyDescent="0.2">
      <c r="A14" t="s">
        <v>44</v>
      </c>
      <c r="B14">
        <v>355</v>
      </c>
      <c r="C14">
        <v>84</v>
      </c>
      <c r="D14">
        <v>164</v>
      </c>
      <c r="E14">
        <v>1530</v>
      </c>
    </row>
    <row r="15" spans="1:5" x14ac:dyDescent="0.2">
      <c r="A15" t="s">
        <v>45</v>
      </c>
      <c r="B15">
        <v>153</v>
      </c>
      <c r="C15">
        <v>49</v>
      </c>
      <c r="D15">
        <v>117</v>
      </c>
      <c r="E15">
        <v>1170</v>
      </c>
    </row>
    <row r="16" spans="1:5" x14ac:dyDescent="0.2">
      <c r="A16" t="s">
        <v>46</v>
      </c>
      <c r="B16">
        <v>539</v>
      </c>
      <c r="C16">
        <v>361</v>
      </c>
      <c r="D16">
        <v>332</v>
      </c>
      <c r="E16">
        <v>3464</v>
      </c>
    </row>
    <row r="17" spans="1:5" x14ac:dyDescent="0.2">
      <c r="A17" t="s">
        <v>47</v>
      </c>
      <c r="B17">
        <v>14</v>
      </c>
      <c r="C17">
        <v>0</v>
      </c>
      <c r="D17">
        <v>4</v>
      </c>
      <c r="E17">
        <v>36</v>
      </c>
    </row>
    <row r="18" spans="1:5" x14ac:dyDescent="0.2">
      <c r="A18" t="s">
        <v>48</v>
      </c>
      <c r="B18">
        <v>181</v>
      </c>
      <c r="C18">
        <v>83</v>
      </c>
      <c r="D18">
        <v>215</v>
      </c>
      <c r="E18">
        <v>1412</v>
      </c>
    </row>
    <row r="19" spans="1:5" x14ac:dyDescent="0.2">
      <c r="A19" t="s">
        <v>49</v>
      </c>
      <c r="B19">
        <v>68</v>
      </c>
      <c r="C19">
        <v>14</v>
      </c>
      <c r="D19">
        <v>36</v>
      </c>
      <c r="E19">
        <v>377</v>
      </c>
    </row>
    <row r="20" spans="1:5" x14ac:dyDescent="0.2">
      <c r="A20" t="s">
        <v>50</v>
      </c>
      <c r="B20">
        <v>25</v>
      </c>
      <c r="C20">
        <v>14</v>
      </c>
      <c r="D20">
        <v>26</v>
      </c>
      <c r="E20">
        <v>144</v>
      </c>
    </row>
    <row r="21" spans="1:5" x14ac:dyDescent="0.2">
      <c r="A21" t="s">
        <v>51</v>
      </c>
      <c r="B21">
        <v>43</v>
      </c>
      <c r="C21">
        <v>20</v>
      </c>
      <c r="D21">
        <v>14</v>
      </c>
      <c r="E21">
        <v>160</v>
      </c>
    </row>
    <row r="22" spans="1:5" x14ac:dyDescent="0.2">
      <c r="A22" t="s">
        <v>52</v>
      </c>
      <c r="B22">
        <v>77</v>
      </c>
      <c r="C22">
        <v>8</v>
      </c>
      <c r="D22">
        <v>25</v>
      </c>
      <c r="E22">
        <v>253</v>
      </c>
    </row>
    <row r="23" spans="1:5" x14ac:dyDescent="0.2">
      <c r="A23" t="s">
        <v>53</v>
      </c>
      <c r="B23">
        <v>5</v>
      </c>
      <c r="C23">
        <v>0</v>
      </c>
      <c r="D23">
        <v>0</v>
      </c>
      <c r="E23">
        <v>34</v>
      </c>
    </row>
    <row r="24" spans="1:5" x14ac:dyDescent="0.2">
      <c r="A24" t="s">
        <v>54</v>
      </c>
      <c r="B24">
        <v>40</v>
      </c>
      <c r="C24">
        <v>12</v>
      </c>
      <c r="D24">
        <v>21</v>
      </c>
      <c r="E24">
        <v>345</v>
      </c>
    </row>
    <row r="25" spans="1:5" x14ac:dyDescent="0.2">
      <c r="A25" t="s">
        <v>55</v>
      </c>
      <c r="B25">
        <v>293</v>
      </c>
      <c r="C25">
        <v>78</v>
      </c>
      <c r="D25">
        <v>172</v>
      </c>
      <c r="E25">
        <v>2219</v>
      </c>
    </row>
    <row r="26" spans="1:5" x14ac:dyDescent="0.2">
      <c r="A26" t="s">
        <v>58</v>
      </c>
      <c r="B26">
        <v>50</v>
      </c>
      <c r="C26">
        <v>16</v>
      </c>
      <c r="D26">
        <v>61</v>
      </c>
      <c r="E26">
        <v>336</v>
      </c>
    </row>
    <row r="27" spans="1:5" x14ac:dyDescent="0.2">
      <c r="A27" t="s">
        <v>59</v>
      </c>
      <c r="B27">
        <v>13</v>
      </c>
      <c r="C27">
        <v>14</v>
      </c>
      <c r="D27">
        <v>6</v>
      </c>
      <c r="E27">
        <v>94</v>
      </c>
    </row>
    <row r="28" spans="1:5" x14ac:dyDescent="0.2">
      <c r="A28" t="s">
        <v>61</v>
      </c>
      <c r="B28">
        <v>0</v>
      </c>
      <c r="C28">
        <v>3</v>
      </c>
      <c r="D28">
        <v>0</v>
      </c>
      <c r="E28">
        <v>30</v>
      </c>
    </row>
    <row r="29" spans="1:5" x14ac:dyDescent="0.2">
      <c r="A29" t="s">
        <v>56</v>
      </c>
      <c r="B29">
        <v>49</v>
      </c>
      <c r="C29">
        <v>10</v>
      </c>
      <c r="D29">
        <v>15</v>
      </c>
      <c r="E29">
        <v>296</v>
      </c>
    </row>
    <row r="30" spans="1:5" x14ac:dyDescent="0.2">
      <c r="A30" t="s">
        <v>57</v>
      </c>
      <c r="B30">
        <v>7</v>
      </c>
      <c r="C30">
        <v>13</v>
      </c>
      <c r="D30">
        <v>15</v>
      </c>
      <c r="E30">
        <v>375</v>
      </c>
    </row>
    <row r="31" spans="1:5" x14ac:dyDescent="0.2">
      <c r="A31" t="s">
        <v>60</v>
      </c>
      <c r="B31">
        <v>14</v>
      </c>
      <c r="C31">
        <v>5</v>
      </c>
      <c r="D31">
        <v>5</v>
      </c>
      <c r="E31">
        <v>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1E158-AF35-1A48-A9BE-F57358F906BF}">
  <dimension ref="A1:E31"/>
  <sheetViews>
    <sheetView tabSelected="1" workbookViewId="0"/>
  </sheetViews>
  <sheetFormatPr baseColWidth="10" defaultRowHeight="16" x14ac:dyDescent="0.2"/>
  <cols>
    <col min="1" max="1" width="10" customWidth="1"/>
    <col min="2" max="4" width="15.5" bestFit="1" customWidth="1"/>
  </cols>
  <sheetData>
    <row r="1" spans="1:5" x14ac:dyDescent="0.2">
      <c r="A1" t="s">
        <v>104</v>
      </c>
      <c r="B1" t="s">
        <v>8</v>
      </c>
      <c r="C1" t="s">
        <v>17</v>
      </c>
      <c r="D1" t="s">
        <v>22</v>
      </c>
      <c r="E1" t="s">
        <v>30</v>
      </c>
    </row>
    <row r="2" spans="1:5" x14ac:dyDescent="0.2">
      <c r="A2" t="s">
        <v>32</v>
      </c>
      <c r="B2">
        <v>0</v>
      </c>
      <c r="C2">
        <v>0</v>
      </c>
      <c r="D2">
        <v>6</v>
      </c>
      <c r="E2">
        <v>9</v>
      </c>
    </row>
    <row r="3" spans="1:5" x14ac:dyDescent="0.2">
      <c r="A3" t="s">
        <v>33</v>
      </c>
      <c r="B3">
        <v>26</v>
      </c>
      <c r="C3">
        <v>0</v>
      </c>
      <c r="D3">
        <v>36</v>
      </c>
      <c r="E3">
        <v>82</v>
      </c>
    </row>
    <row r="4" spans="1:5" x14ac:dyDescent="0.2">
      <c r="A4" t="s">
        <v>34</v>
      </c>
      <c r="B4">
        <v>0</v>
      </c>
      <c r="C4">
        <v>12</v>
      </c>
      <c r="D4">
        <v>0</v>
      </c>
      <c r="E4">
        <v>12</v>
      </c>
    </row>
    <row r="5" spans="1:5" x14ac:dyDescent="0.2">
      <c r="A5" t="s">
        <v>35</v>
      </c>
      <c r="B5">
        <v>0</v>
      </c>
      <c r="C5">
        <v>0</v>
      </c>
      <c r="D5">
        <v>23</v>
      </c>
      <c r="E5">
        <v>23</v>
      </c>
    </row>
    <row r="6" spans="1:5" x14ac:dyDescent="0.2">
      <c r="A6" t="s">
        <v>36</v>
      </c>
      <c r="B6">
        <v>0</v>
      </c>
      <c r="C6">
        <v>0</v>
      </c>
      <c r="D6">
        <v>13</v>
      </c>
      <c r="E6">
        <v>15</v>
      </c>
    </row>
    <row r="7" spans="1:5" x14ac:dyDescent="0.2">
      <c r="A7" t="s">
        <v>37</v>
      </c>
      <c r="B7">
        <v>0</v>
      </c>
      <c r="C7">
        <v>0</v>
      </c>
      <c r="D7">
        <v>14</v>
      </c>
      <c r="E7">
        <v>14</v>
      </c>
    </row>
    <row r="8" spans="1:5" x14ac:dyDescent="0.2">
      <c r="A8" t="s">
        <v>38</v>
      </c>
      <c r="B8">
        <v>0</v>
      </c>
      <c r="C8">
        <v>0</v>
      </c>
      <c r="D8">
        <v>6</v>
      </c>
      <c r="E8">
        <v>31</v>
      </c>
    </row>
    <row r="9" spans="1:5" x14ac:dyDescent="0.2">
      <c r="A9" t="s">
        <v>39</v>
      </c>
      <c r="B9">
        <v>5</v>
      </c>
      <c r="C9">
        <v>10</v>
      </c>
      <c r="D9">
        <v>30</v>
      </c>
      <c r="E9">
        <v>64</v>
      </c>
    </row>
    <row r="10" spans="1:5" x14ac:dyDescent="0.2">
      <c r="A10" t="s">
        <v>40</v>
      </c>
      <c r="B10">
        <v>7</v>
      </c>
      <c r="C10">
        <v>3</v>
      </c>
      <c r="D10">
        <v>74</v>
      </c>
      <c r="E10">
        <v>149</v>
      </c>
    </row>
    <row r="11" spans="1:5" x14ac:dyDescent="0.2">
      <c r="A11" t="s">
        <v>41</v>
      </c>
      <c r="B11">
        <v>0</v>
      </c>
      <c r="C11">
        <v>0</v>
      </c>
      <c r="D11">
        <v>35</v>
      </c>
      <c r="E11">
        <v>49</v>
      </c>
    </row>
    <row r="12" spans="1:5" x14ac:dyDescent="0.2">
      <c r="A12" t="s">
        <v>42</v>
      </c>
      <c r="B12">
        <v>0</v>
      </c>
      <c r="C12">
        <v>0</v>
      </c>
      <c r="D12">
        <v>19</v>
      </c>
      <c r="E12">
        <v>32</v>
      </c>
    </row>
    <row r="13" spans="1:5" x14ac:dyDescent="0.2">
      <c r="A13" t="s">
        <v>43</v>
      </c>
      <c r="B13">
        <v>0</v>
      </c>
      <c r="C13">
        <v>0</v>
      </c>
      <c r="D13">
        <v>0</v>
      </c>
      <c r="E13">
        <v>0</v>
      </c>
    </row>
    <row r="14" spans="1:5" x14ac:dyDescent="0.2">
      <c r="A14" t="s">
        <v>44</v>
      </c>
      <c r="B14">
        <v>0</v>
      </c>
      <c r="C14">
        <v>3</v>
      </c>
      <c r="D14">
        <v>30</v>
      </c>
      <c r="E14">
        <v>72</v>
      </c>
    </row>
    <row r="15" spans="1:5" x14ac:dyDescent="0.2">
      <c r="A15" t="s">
        <v>45</v>
      </c>
      <c r="B15">
        <v>0</v>
      </c>
      <c r="C15">
        <v>0</v>
      </c>
      <c r="D15">
        <v>4</v>
      </c>
      <c r="E15">
        <v>7</v>
      </c>
    </row>
    <row r="16" spans="1:5" x14ac:dyDescent="0.2">
      <c r="A16" t="s">
        <v>46</v>
      </c>
      <c r="B16">
        <v>7</v>
      </c>
      <c r="C16">
        <v>4</v>
      </c>
      <c r="D16">
        <v>17</v>
      </c>
      <c r="E16">
        <v>49</v>
      </c>
    </row>
    <row r="17" spans="1:5" x14ac:dyDescent="0.2">
      <c r="A17" t="s">
        <v>47</v>
      </c>
      <c r="B17">
        <v>3</v>
      </c>
      <c r="C17">
        <v>0</v>
      </c>
      <c r="D17">
        <v>2</v>
      </c>
      <c r="E17">
        <v>13</v>
      </c>
    </row>
    <row r="18" spans="1:5" x14ac:dyDescent="0.2">
      <c r="A18" t="s">
        <v>48</v>
      </c>
      <c r="B18">
        <v>0</v>
      </c>
      <c r="C18">
        <v>0</v>
      </c>
      <c r="D18">
        <v>24</v>
      </c>
      <c r="E18">
        <v>47</v>
      </c>
    </row>
    <row r="19" spans="1:5" x14ac:dyDescent="0.2">
      <c r="A19" t="s">
        <v>49</v>
      </c>
      <c r="B19">
        <v>0</v>
      </c>
      <c r="C19">
        <v>0</v>
      </c>
      <c r="D19">
        <v>7</v>
      </c>
      <c r="E19">
        <v>7</v>
      </c>
    </row>
    <row r="20" spans="1:5" x14ac:dyDescent="0.2">
      <c r="A20" t="s">
        <v>50</v>
      </c>
      <c r="B20">
        <v>0</v>
      </c>
      <c r="C20">
        <v>0</v>
      </c>
      <c r="D20">
        <v>7</v>
      </c>
      <c r="E20">
        <v>9</v>
      </c>
    </row>
    <row r="21" spans="1:5" x14ac:dyDescent="0.2">
      <c r="A21" t="s">
        <v>51</v>
      </c>
      <c r="B21">
        <v>0</v>
      </c>
      <c r="C21">
        <v>0</v>
      </c>
      <c r="D21">
        <v>10</v>
      </c>
      <c r="E21">
        <v>10</v>
      </c>
    </row>
    <row r="22" spans="1:5" x14ac:dyDescent="0.2">
      <c r="A22" t="s">
        <v>52</v>
      </c>
      <c r="B22">
        <v>4</v>
      </c>
      <c r="C22">
        <v>1</v>
      </c>
      <c r="D22">
        <v>18</v>
      </c>
      <c r="E22">
        <v>38</v>
      </c>
    </row>
    <row r="23" spans="1:5" x14ac:dyDescent="0.2">
      <c r="A23" t="s">
        <v>53</v>
      </c>
      <c r="B23">
        <v>0</v>
      </c>
      <c r="C23">
        <v>0</v>
      </c>
      <c r="D23">
        <v>5</v>
      </c>
      <c r="E23">
        <v>5</v>
      </c>
    </row>
    <row r="24" spans="1:5" x14ac:dyDescent="0.2">
      <c r="A24" t="s">
        <v>54</v>
      </c>
      <c r="B24">
        <v>0</v>
      </c>
      <c r="C24">
        <v>0</v>
      </c>
      <c r="D24">
        <v>1</v>
      </c>
      <c r="E24">
        <v>5</v>
      </c>
    </row>
    <row r="25" spans="1:5" x14ac:dyDescent="0.2">
      <c r="A25" t="s">
        <v>55</v>
      </c>
      <c r="B25">
        <v>3</v>
      </c>
      <c r="C25">
        <v>0</v>
      </c>
      <c r="D25">
        <v>17</v>
      </c>
      <c r="E25">
        <v>25</v>
      </c>
    </row>
    <row r="26" spans="1:5" x14ac:dyDescent="0.2">
      <c r="A26" t="s">
        <v>58</v>
      </c>
      <c r="B26">
        <v>0</v>
      </c>
      <c r="C26">
        <v>4</v>
      </c>
      <c r="D26">
        <v>57</v>
      </c>
      <c r="E26">
        <v>91</v>
      </c>
    </row>
    <row r="27" spans="1:5" x14ac:dyDescent="0.2">
      <c r="A27" t="s">
        <v>59</v>
      </c>
      <c r="B27">
        <v>0</v>
      </c>
      <c r="C27">
        <v>0</v>
      </c>
      <c r="D27">
        <v>44</v>
      </c>
      <c r="E27">
        <v>82</v>
      </c>
    </row>
    <row r="28" spans="1:5" x14ac:dyDescent="0.2">
      <c r="A28" t="s">
        <v>61</v>
      </c>
      <c r="B28">
        <v>0</v>
      </c>
      <c r="C28">
        <v>0</v>
      </c>
      <c r="D28">
        <v>0</v>
      </c>
      <c r="E28">
        <v>11</v>
      </c>
    </row>
    <row r="29" spans="1:5" x14ac:dyDescent="0.2">
      <c r="A29" t="s">
        <v>56</v>
      </c>
      <c r="B29">
        <v>0</v>
      </c>
      <c r="C29">
        <v>0</v>
      </c>
      <c r="D29">
        <v>12</v>
      </c>
      <c r="E29">
        <v>28</v>
      </c>
    </row>
    <row r="30" spans="1:5" x14ac:dyDescent="0.2">
      <c r="A30" t="s">
        <v>57</v>
      </c>
      <c r="B30">
        <v>0</v>
      </c>
      <c r="C30">
        <v>0</v>
      </c>
      <c r="D30">
        <v>4</v>
      </c>
      <c r="E30">
        <v>4</v>
      </c>
    </row>
    <row r="31" spans="1:5" x14ac:dyDescent="0.2">
      <c r="A31" t="s">
        <v>60</v>
      </c>
      <c r="B31">
        <v>0</v>
      </c>
      <c r="C31">
        <v>0</v>
      </c>
      <c r="D31">
        <v>16</v>
      </c>
      <c r="E3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DNA &amp; RNA Files</vt:lpstr>
      <vt:lpstr>DNA - Top 30 Del %</vt:lpstr>
      <vt:lpstr>RNA (unaligned) - Top 30 Del %</vt:lpstr>
      <vt:lpstr>RNA - HISAT2 - Top 30 Del %</vt:lpstr>
      <vt:lpstr>DNA Reads</vt:lpstr>
      <vt:lpstr>RNA (unaligned) Reads</vt:lpstr>
      <vt:lpstr>'DNA - Top 30 Del %'!top30_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Arianoosh Omidsalar</dc:creator>
  <cp:lastModifiedBy>Audrey Omidsalar</cp:lastModifiedBy>
  <dcterms:created xsi:type="dcterms:W3CDTF">2023-02-09T23:18:31Z</dcterms:created>
  <dcterms:modified xsi:type="dcterms:W3CDTF">2024-01-16T21:55:22Z</dcterms:modified>
</cp:coreProperties>
</file>